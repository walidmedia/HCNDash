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ustomProperty8.bin" ContentType="application/vnd.openxmlformats-officedocument.spreadsheetml.customProperty"/>
  <Override PartName="/xl/customProperty9.bin" ContentType="application/vnd.openxmlformats-officedocument.spreadsheetml.customProperty"/>
  <Override PartName="/xl/customProperty10.bin" ContentType="application/vnd.openxmlformats-officedocument.spreadsheetml.customProperty"/>
  <Override PartName="/xl/customProperty11.bin" ContentType="application/vnd.openxmlformats-officedocument.spreadsheetml.customProperty"/>
  <Override PartName="/xl/customProperty12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2026\2.février\"/>
    </mc:Choice>
  </mc:AlternateContent>
  <xr:revisionPtr revIDLastSave="0" documentId="8_{E316E9F0-CA51-4807-9DFF-CC518E422ED7}" xr6:coauthVersionLast="47" xr6:coauthVersionMax="47" xr10:uidLastSave="{00000000-0000-0000-0000-000000000000}"/>
  <bookViews>
    <workbookView xWindow="-120" yWindow="-120" windowWidth="29040" windowHeight="15720" tabRatio="683" xr2:uid="{00000000-000D-0000-FFFF-FFFF00000000}"/>
  </bookViews>
  <sheets>
    <sheet name="Page de garde" sheetId="14" r:id="rId1"/>
    <sheet name="Forages  " sheetId="76" r:id="rId2"/>
    <sheet name="Production" sheetId="2" r:id="rId3"/>
    <sheet name="TRC" sheetId="3" r:id="rId4"/>
    <sheet name="LQS" sheetId="4" r:id="rId5"/>
    <sheet name="Raffinage" sheetId="5" r:id="rId6"/>
    <sheet name="Pétrochimie" sheetId="19" r:id="rId7"/>
    <sheet name="Export Vol" sheetId="6" r:id="rId8"/>
    <sheet name="Export Val" sheetId="13" r:id="rId9"/>
    <sheet name="MN Vol" sheetId="7" r:id="rId10"/>
    <sheet name="MN Val" sheetId="8" r:id="rId11"/>
    <sheet name="PR Vol" sheetId="9" r:id="rId12"/>
    <sheet name="Investissements   " sheetId="77" r:id="rId13"/>
    <sheet name="Emploi" sheetId="12" r:id="rId14"/>
  </sheets>
  <externalReferences>
    <externalReference r:id="rId15"/>
    <externalReference r:id="rId16"/>
    <externalReference r:id="rId17"/>
    <externalReference r:id="rId18"/>
    <externalReference r:id="rId19"/>
  </externalReferences>
  <definedNames>
    <definedName name="_dr14" localSheetId="1">#REF!</definedName>
    <definedName name="_dr14" localSheetId="12">#REF!</definedName>
    <definedName name="_dr14">#REF!</definedName>
    <definedName name="_it12365" localSheetId="12">#REF!</definedName>
    <definedName name="_it12365">#REF!</definedName>
    <definedName name="_IT1254" localSheetId="12">[1]COM!#REF!</definedName>
    <definedName name="_IT1254">[1]COM!#REF!</definedName>
    <definedName name="_IT69037" localSheetId="1">#REF!</definedName>
    <definedName name="_IT69037" localSheetId="12">#REF!</definedName>
    <definedName name="_IT69037">#REF!</definedName>
    <definedName name="_IT79999" localSheetId="12">#REF!</definedName>
    <definedName name="_IT79999">#REF!</definedName>
    <definedName name="_IT99040" localSheetId="12">#REF!</definedName>
    <definedName name="_IT99040">#REF!</definedName>
    <definedName name="_IT99268" localSheetId="12">#REF!</definedName>
    <definedName name="_IT99268">#REF!</definedName>
    <definedName name="_IT99999" localSheetId="12">#REF!</definedName>
    <definedName name="_IT99999">#REF!</definedName>
    <definedName name="_IT999999" localSheetId="12">#REF!</definedName>
    <definedName name="_IT999999">#REF!</definedName>
    <definedName name="_Regression_X" localSheetId="12" hidden="1">[2]Base!#REF!</definedName>
    <definedName name="_Regression_X" hidden="1">[2]Base!#REF!</definedName>
    <definedName name="AR2_Consommation" localSheetId="1">#REF!</definedName>
    <definedName name="AR2_Consommation" localSheetId="12">#REF!</definedName>
    <definedName name="AR2_Consommation">#REF!</definedName>
    <definedName name="Balance_mens.production" localSheetId="12">#REF!</definedName>
    <definedName name="Balance_mens.production">#REF!</definedName>
    <definedName name="Bilan_mens.gaz" localSheetId="12">#REF!</definedName>
    <definedName name="Bilan_mens.gaz">#REF!</definedName>
    <definedName name="Bilan_mens.production" localSheetId="12">#REF!</definedName>
    <definedName name="Bilan_mens.production">#REF!</definedName>
    <definedName name="C_AR06_Départ_10" localSheetId="12">#REF!</definedName>
    <definedName name="C_AR06_Départ_10">#REF!</definedName>
    <definedName name="C_AR06_Départ_16" localSheetId="12">#REF!</definedName>
    <definedName name="C_AR06_Départ_16">#REF!</definedName>
    <definedName name="C_AR06_Press_BP" localSheetId="12">#REF!</definedName>
    <definedName name="C_AR06_Press_BP">#REF!</definedName>
    <definedName name="C_AR06_Press_HP" localSheetId="12">#REF!</definedName>
    <definedName name="C_AR06_Press_HP">#REF!</definedName>
    <definedName name="C_AR06_Température_BP" localSheetId="12">#REF!</definedName>
    <definedName name="C_AR06_Température_BP">#REF!</definedName>
    <definedName name="C_AR06_Température_HP" localSheetId="12">#REF!</definedName>
    <definedName name="C_AR06_Température_HP">#REF!</definedName>
    <definedName name="C_GS01_B.J_N_1" localSheetId="12">#REF!</definedName>
    <definedName name="C_GS01_B.J_N_1">#REF!</definedName>
    <definedName name="C_GS01_B.J_N_2" localSheetId="12">#REF!</definedName>
    <definedName name="C_GS01_B.J_N_2">#REF!</definedName>
    <definedName name="C_GS01_B.J_N_3" localSheetId="12">#REF!</definedName>
    <definedName name="C_GS01_B.J_N_3">#REF!</definedName>
    <definedName name="C_GS01_Press_Arrivée_10_AR" localSheetId="12">#REF!</definedName>
    <definedName name="C_GS01_Press_Arrivée_10_AR">#REF!</definedName>
    <definedName name="C_GS01_Press_BP" localSheetId="12">#REF!</definedName>
    <definedName name="C_GS01_Press_BP">#REF!</definedName>
    <definedName name="C_GS01_Press_Départ_10_MD" localSheetId="12">#REF!</definedName>
    <definedName name="C_GS01_Press_Départ_10_MD">#REF!</definedName>
    <definedName name="C_GS01_Press_HP" localSheetId="12">#REF!</definedName>
    <definedName name="C_GS01_Press_HP">#REF!</definedName>
    <definedName name="C_GS01_Press_HP_1" localSheetId="12">#REF!</definedName>
    <definedName name="C_GS01_Press_HP_1">#REF!</definedName>
    <definedName name="C_GS01_Press_HP_Test" localSheetId="12">#REF!</definedName>
    <definedName name="C_GS01_Press_HP_Test">#REF!</definedName>
    <definedName name="C_GS01_Température_BP" localSheetId="12">#REF!</definedName>
    <definedName name="C_GS01_Température_BP">#REF!</definedName>
    <definedName name="C_GS01_Température_HP" localSheetId="12">#REF!</definedName>
    <definedName name="C_GS01_Température_HP">#REF!</definedName>
    <definedName name="C_GS01_Température_HP_1" localSheetId="12">#REF!</definedName>
    <definedName name="C_GS01_Température_HP_1">#REF!</definedName>
    <definedName name="C_GS01_Température_HP_Test" localSheetId="12">#REF!</definedName>
    <definedName name="C_GS01_Température_HP_Test">#REF!</definedName>
    <definedName name="C_Zotti_Press_Départ_10" localSheetId="12">#REF!</definedName>
    <definedName name="C_Zotti_Press_Départ_10">#REF!</definedName>
    <definedName name="C_Zotti_Press_HP" localSheetId="12">#REF!</definedName>
    <definedName name="C_Zotti_Press_HP">#REF!</definedName>
    <definedName name="C_Zotti_Température_HP" localSheetId="12">#REF!</definedName>
    <definedName name="C_Zotti_Température_HP">#REF!</definedName>
    <definedName name="CHIFFRE_D_AFFAIRES____SONATRACH_SEULE" localSheetId="12">[3]HOCINE!#REF!</definedName>
    <definedName name="CHIFFRE_D_AFFAIRES____SONATRACH_SEULE">[3]HOCINE!#REF!</definedName>
    <definedName name="CHIFFRE_D_AFFAIRES_A_L_EXPORTATION" localSheetId="1">#REF!</definedName>
    <definedName name="CHIFFRE_D_AFFAIRES_A_L_EXPORTATION" localSheetId="12">#REF!</definedName>
    <definedName name="CHIFFRE_D_AFFAIRES_A_L_EXPORTATION">#REF!</definedName>
    <definedName name="CHIFFRE_D_AFFAIRES_DU_MARCHE_NATIONAL" localSheetId="12">#REF!</definedName>
    <definedName name="CHIFFRE_D_AFFAIRES_DU_MARCHE_NATIONAL">#REF!</definedName>
    <definedName name="copycell" localSheetId="12">#REF!</definedName>
    <definedName name="copycell">#REF!</definedName>
    <definedName name="Dates" localSheetId="12">#REF!</definedName>
    <definedName name="Dates">#REF!</definedName>
    <definedName name="Densité_à_15_C_ASTM" localSheetId="12">#REF!</definedName>
    <definedName name="Densité_à_15_C_ASTM">#REF!</definedName>
    <definedName name="Densité_Expédition" localSheetId="12">#REF!</definedName>
    <definedName name="Densité_Expédition">#REF!</definedName>
    <definedName name="Densité_Réception" localSheetId="12">#REF!</definedName>
    <definedName name="Densité_Réception">#REF!</definedName>
    <definedName name="Direction_Dégorgement_tonnes_total_An" localSheetId="12">#REF!</definedName>
    <definedName name="Direction_Dégorgement_tonnes_total_An">#REF!</definedName>
    <definedName name="Direction_Ecart_tonnes_total_An" localSheetId="12">#REF!</definedName>
    <definedName name="Direction_Ecart_tonnes_total_An">#REF!</definedName>
    <definedName name="Direction_Exercices_Incendies_tonnes_total_An" localSheetId="12">#REF!</definedName>
    <definedName name="Direction_Exercices_Incendies_tonnes_total_An">#REF!</definedName>
    <definedName name="Direction_Expédition_tonnes_total_An" localSheetId="12">#REF!</definedName>
    <definedName name="Direction_Expédition_tonnes_total_An">#REF!</definedName>
    <definedName name="Direction_Gaz_Produit_total_An" localSheetId="12">#REF!</definedName>
    <definedName name="Direction_Gaz_Produit_total_An">#REF!</definedName>
    <definedName name="Direction_Interventions_Puits_tonnes_total_An" localSheetId="12">#REF!</definedName>
    <definedName name="Direction_Interventions_Puits_tonnes_total_An">#REF!</definedName>
    <definedName name="Direction_Prévision_tonnes_total_An" localSheetId="12">#REF!</definedName>
    <definedName name="Direction_Prévision_tonnes_total_An">#REF!</definedName>
    <definedName name="Direction_Production_tonnes_total_An" localSheetId="12">#REF!</definedName>
    <definedName name="Direction_Production_tonnes_total_An">#REF!</definedName>
    <definedName name="Direction_Réalisation_tonnes_total_An" localSheetId="12">#REF!</definedName>
    <definedName name="Direction_Réalisation_tonnes_total_An">#REF!</definedName>
    <definedName name="Direction_Taux_Annuel_de_Réalisations\Prévisions" localSheetId="12">#REF!</definedName>
    <definedName name="Direction_Taux_Annuel_de_Réalisations\Prévisions">#REF!</definedName>
    <definedName name="Direction_Taux_Annuel_de_Réalisations\Réalisations" localSheetId="12">#REF!</definedName>
    <definedName name="Direction_Taux_Annuel_de_Réalisations\Réalisations">#REF!</definedName>
    <definedName name="El_Agreb_Consommation" localSheetId="12">#REF!</definedName>
    <definedName name="El_Agreb_Consommation">#REF!</definedName>
    <definedName name="El_Agreb_Gas_Lift_BP_Inj" localSheetId="12">#REF!</definedName>
    <definedName name="El_Agreb_Gas_Lift_BP_Inj">#REF!</definedName>
    <definedName name="El_Agreb_Gaz_form_BP" localSheetId="12">#REF!</definedName>
    <definedName name="El_Agreb_Gaz_form_BP">#REF!</definedName>
    <definedName name="El_Agreb_Gaz_form_HP" localSheetId="12">#REF!</definedName>
    <definedName name="El_Agreb_Gaz_form_HP">#REF!</definedName>
    <definedName name="Etat_mens.prélèvements" localSheetId="12">#REF!</definedName>
    <definedName name="Etat_mens.prélèvements">#REF!</definedName>
    <definedName name="Injec_Eau_Jour_AR02" localSheetId="12">#REF!</definedName>
    <definedName name="Injec_Eau_Jour_AR02">#REF!</definedName>
    <definedName name="Injec_Eau_Jour_AR09" localSheetId="12">#REF!</definedName>
    <definedName name="Injec_Eau_Jour_AR09">#REF!</definedName>
    <definedName name="Injec_Eau_Jour_AR10" localSheetId="12">#REF!</definedName>
    <definedName name="Injec_Eau_Jour_AR10">#REF!</definedName>
    <definedName name="Injec_Eau_Jour_AR11" localSheetId="12">#REF!</definedName>
    <definedName name="Injec_Eau_Jour_AR11">#REF!</definedName>
    <definedName name="Injec_Eau_Jour_AR14" localSheetId="12">#REF!</definedName>
    <definedName name="Injec_Eau_Jour_AR14">#REF!</definedName>
    <definedName name="Injec_Eau_Jour_AR20" localSheetId="12">#REF!</definedName>
    <definedName name="Injec_Eau_Jour_AR20">#REF!</definedName>
    <definedName name="Injec_Eau_Jour_AR25" localSheetId="12">#REF!</definedName>
    <definedName name="Injec_Eau_Jour_AR25">#REF!</definedName>
    <definedName name="Injec_Eau_Jour_AR27" localSheetId="12">#REF!</definedName>
    <definedName name="Injec_Eau_Jour_AR27">#REF!</definedName>
    <definedName name="it12598743" localSheetId="12">#REF!</definedName>
    <definedName name="it12598743">#REF!</definedName>
    <definedName name="Nbre_Jr_Mois" localSheetId="12">#REF!</definedName>
    <definedName name="Nbre_Jr_Mois">#REF!</definedName>
    <definedName name="PK_27_Press_MP" localSheetId="12">#REF!</definedName>
    <definedName name="PK_27_Press_MP">#REF!</definedName>
    <definedName name="Pk_27_Température_MP" localSheetId="12">#REF!</definedName>
    <definedName name="Pk_27_Température_MP">#REF!</definedName>
    <definedName name="Prévision_AR_Tonnes" localSheetId="12">#REF!</definedName>
    <definedName name="Prévision_AR_Tonnes">#REF!</definedName>
    <definedName name="Prévision_GS_Tonnes" localSheetId="12">#REF!</definedName>
    <definedName name="Prévision_GS_Tonnes">#REF!</definedName>
    <definedName name="Prévision_totale_Tonnes" localSheetId="12">#REF!</definedName>
    <definedName name="Prévision_totale_Tonnes">#REF!</definedName>
    <definedName name="Prévision_ZT_Tonnes" localSheetId="12">#REF!</definedName>
    <definedName name="Prévision_ZT_Tonnes">#REF!</definedName>
    <definedName name="Print_Area" localSheetId="12">#REF!</definedName>
    <definedName name="Print_Area">#REF!</definedName>
    <definedName name="Prod_Eau_Jour_AR11" localSheetId="12">#REF!</definedName>
    <definedName name="Prod_Eau_Jour_AR11">#REF!</definedName>
    <definedName name="Prod_Eau_Jour_AR13" localSheetId="12">#REF!</definedName>
    <definedName name="Prod_Eau_Jour_AR13">#REF!</definedName>
    <definedName name="Prod_Eau_Jour_AR19" localSheetId="12">#REF!</definedName>
    <definedName name="Prod_Eau_Jour_AR19">#REF!</definedName>
    <definedName name="Prod_Eau_Jour_AR20" localSheetId="12">#REF!</definedName>
    <definedName name="Prod_Eau_Jour_AR20">#REF!</definedName>
    <definedName name="Prod_Eau_Jour_AR23" localSheetId="12">#REF!</definedName>
    <definedName name="Prod_Eau_Jour_AR23">#REF!</definedName>
    <definedName name="Prod_Eau_Jour_AR24" localSheetId="12">#REF!</definedName>
    <definedName name="Prod_Eau_Jour_AR24">#REF!</definedName>
    <definedName name="Prod_Eau_Jour_AR25" localSheetId="12">#REF!</definedName>
    <definedName name="Prod_Eau_Jour_AR25">#REF!</definedName>
    <definedName name="Prod_Eau_Jour_AR29" localSheetId="12">#REF!</definedName>
    <definedName name="Prod_Eau_Jour_AR29">#REF!</definedName>
    <definedName name="Prod_Eau_Jour_ARJ1" localSheetId="12">#REF!</definedName>
    <definedName name="Prod_Eau_Jour_ARJ1">#REF!</definedName>
    <definedName name="Prod_Eau_Jour_ARJ2" localSheetId="12">#REF!</definedName>
    <definedName name="Prod_Eau_Jour_ARJ2">#REF!</definedName>
    <definedName name="PRODUCTION_DE_G.P.L" localSheetId="12">#REF!</definedName>
    <definedName name="PRODUCTION_DE_G.P.L">#REF!</definedName>
    <definedName name="PRODUCTION_DE_PETROLE_BRUT__GISEMENT_EN_ASSOCIATIONS" localSheetId="12">[3]DPR2!#REF!</definedName>
    <definedName name="PRODUCTION_DE_PETROLE_BRUT__GISEMENT_EN_ASSOCIATIONS">[3]DPR2!#REF!</definedName>
    <definedName name="PRODUCTION_DES_ENERGIES_PRIMAIRES" localSheetId="1">#REF!</definedName>
    <definedName name="PRODUCTION_DES_ENERGIES_PRIMAIRES" localSheetId="12">#REF!</definedName>
    <definedName name="PRODUCTION_DES_ENERGIES_PRIMAIRES">#REF!</definedName>
    <definedName name="Réal_m3_AR58" localSheetId="12">#REF!</definedName>
    <definedName name="Réal_m3_AR58">#REF!</definedName>
    <definedName name="Réal_m3_AR62" localSheetId="12">#REF!</definedName>
    <definedName name="Réal_m3_AR62">#REF!</definedName>
    <definedName name="Réal_m3_GS14" localSheetId="12">#REF!</definedName>
    <definedName name="Réal_m3_GS14">#REF!</definedName>
    <definedName name="Réal_m3_GS17" localSheetId="12">#REF!</definedName>
    <definedName name="Réal_m3_GS17">#REF!</definedName>
    <definedName name="Réalisation_m3_El_Agreb" localSheetId="12">#REF!</definedName>
    <definedName name="Réalisation_m3_El_Agreb">#REF!</definedName>
    <definedName name="Réalisation_m3_El_Gassi" localSheetId="12">#REF!</definedName>
    <definedName name="Réalisation_m3_El_Gassi">#REF!</definedName>
    <definedName name="Réalisation_m3_Zotti" localSheetId="12">#REF!</definedName>
    <definedName name="Réalisation_m3_Zotti">#REF!</definedName>
    <definedName name="Réalisation_totale_m3_Champs" localSheetId="12">#REF!</definedName>
    <definedName name="Réalisation_totale_m3_Champs">#REF!</definedName>
    <definedName name="REALISATIONS_DE_LA_PRODUCTION_ET_DE_LA_COMMERCIALISATION" localSheetId="12">#REF!</definedName>
    <definedName name="REALISATIONS_DE_LA_PRODUCTION_ET_DE_LA_COMMERCIALISATION">#REF!</definedName>
    <definedName name="Réalisations_m3_Puits_El_Agreb_en_B.P" localSheetId="12">#REF!</definedName>
    <definedName name="Réalisations_m3_Puits_El_Agreb_en_B.P">#REF!</definedName>
    <definedName name="Réalisations_m3_Puits_El_Agreb_en_H.P" localSheetId="12">#REF!</definedName>
    <definedName name="Réalisations_m3_Puits_El_Agreb_en_H.P">#REF!</definedName>
    <definedName name="Salinité_mg_l" localSheetId="12">#REF!</definedName>
    <definedName name="Salinité_mg_l">#REF!</definedName>
    <definedName name="sonya" localSheetId="12">#REF!</definedName>
    <definedName name="sonya">#REF!</definedName>
    <definedName name="soytr" localSheetId="12">[1]COM!#REF!</definedName>
    <definedName name="soytr">[1]COM!#REF!</definedName>
    <definedName name="STOCK">[4]STOCK!$A$1:$Z$36</definedName>
    <definedName name="T_V_R_g_cm2" localSheetId="1">#REF!</definedName>
    <definedName name="T_V_R_g_cm2" localSheetId="12">#REF!</definedName>
    <definedName name="T_V_R_g_cm2">#REF!</definedName>
    <definedName name="Teneur_en_Eau" localSheetId="12">#REF!</definedName>
    <definedName name="Teneur_en_Eau">#REF!</definedName>
    <definedName name="Teneur_en_Sédiments" localSheetId="12">#REF!</definedName>
    <definedName name="Teneur_en_Sédiments">#REF!</definedName>
    <definedName name="Torché_UGL" localSheetId="12">#REF!</definedName>
    <definedName name="Torché_UGL">#REF!</definedName>
    <definedName name="Total_Manq_à_Prod_T" localSheetId="12">#REF!</definedName>
    <definedName name="Total_Manq_à_Prod_T">#REF!</definedName>
    <definedName name="UGL_Press_Entrée" localSheetId="12">#REF!</definedName>
    <definedName name="UGL_Press_Entrée">#REF!</definedName>
    <definedName name="UGL_Press_Sortie" localSheetId="12">#REF!</definedName>
    <definedName name="UGL_Press_Sortie">#REF!</definedName>
    <definedName name="UGL_Quantité_Entrée" localSheetId="12">#REF!</definedName>
    <definedName name="UGL_Quantité_Entrée">#REF!</definedName>
    <definedName name="UGL_Quantité_Sortie" localSheetId="12">#REF!</definedName>
    <definedName name="UGL_Quantité_Sortie">#REF!</definedName>
    <definedName name="UGL_Température_Sortie" localSheetId="12">#REF!</definedName>
    <definedName name="UGL_Température_Sortie">#REF!</definedName>
    <definedName name="UGL_U_100_Cumul_Nbre_Démarrage" localSheetId="12">#REF!</definedName>
    <definedName name="UGL_U_100_Cumul_Nbre_Démarrage">#REF!</definedName>
    <definedName name="UGL_U_100_Cumul_Nbre_Heure_Arret" localSheetId="12">#REF!</definedName>
    <definedName name="UGL_U_100_Cumul_Nbre_Heure_Arret">#REF!</definedName>
    <definedName name="UGL_U_100_Cumul_Nbre_Heure_Marche" localSheetId="12">#REF!</definedName>
    <definedName name="UGL_U_100_Cumul_Nbre_Heure_Marche">#REF!</definedName>
    <definedName name="UGL_U_100_Press_Reffoulement" localSheetId="12">#REF!</definedName>
    <definedName name="UGL_U_100_Press_Reffoulement">#REF!</definedName>
    <definedName name="UGL_U_200_Cumul_Nbre_Démarrage" localSheetId="12">#REF!</definedName>
    <definedName name="UGL_U_200_Cumul_Nbre_Démarrage">#REF!</definedName>
    <definedName name="UGL_U_200_Cumul_Nbre_Heure_Arret" localSheetId="12">#REF!</definedName>
    <definedName name="UGL_U_200_Cumul_Nbre_Heure_Arret">#REF!</definedName>
    <definedName name="UGL_U_200_Cumul_Nbre_Heure_Marche" localSheetId="12">#REF!</definedName>
    <definedName name="UGL_U_200_Cumul_Nbre_Heure_Marche">#REF!</definedName>
    <definedName name="UGL_U_200_Press_Reffoulement" localSheetId="12">#REF!</definedName>
    <definedName name="UGL_U_200_Press_Reffoulement">#REF!</definedName>
    <definedName name="V_à_15c_m3_h_AR12" localSheetId="12">#REF!</definedName>
    <definedName name="V_à_15c_m3_h_AR12">#REF!</definedName>
    <definedName name="V_à_15c_m3_h_AR18" localSheetId="12">#REF!</definedName>
    <definedName name="V_à_15c_m3_h_AR18">#REF!</definedName>
    <definedName name="V_à_15c_m3_h_AR21" localSheetId="12">#REF!</definedName>
    <definedName name="V_à_15c_m3_h_AR21">#REF!</definedName>
    <definedName name="V_à_15c_m3_h_AR22" localSheetId="12">#REF!</definedName>
    <definedName name="V_à_15c_m3_h_AR22">#REF!</definedName>
    <definedName name="V_à_15c_m3_h_AR30" localSheetId="12">#REF!</definedName>
    <definedName name="V_à_15c_m3_h_AR30">#REF!</definedName>
    <definedName name="V_à_15c_m3_h_AR31" localSheetId="12">#REF!</definedName>
    <definedName name="V_à_15c_m3_h_AR31">#REF!</definedName>
    <definedName name="V_à_15c_m3_h_AR32" localSheetId="12">#REF!</definedName>
    <definedName name="V_à_15c_m3_h_AR32">#REF!</definedName>
    <definedName name="V_à_15c_m3_h_AR33" localSheetId="12">#REF!</definedName>
    <definedName name="V_à_15c_m3_h_AR33">#REF!</definedName>
    <definedName name="V_à_15c_m3_h_AR34" localSheetId="12">#REF!</definedName>
    <definedName name="V_à_15c_m3_h_AR34">#REF!</definedName>
    <definedName name="V_à_15c_m3_h_AR35" localSheetId="12">#REF!</definedName>
    <definedName name="V_à_15c_m3_h_AR35">#REF!</definedName>
    <definedName name="V_à_15c_m3_h_AR36" localSheetId="12">#REF!</definedName>
    <definedName name="V_à_15c_m3_h_AR36">#REF!</definedName>
    <definedName name="V_à_15c_m3_h_AR37" localSheetId="12">#REF!</definedName>
    <definedName name="V_à_15c_m3_h_AR37">#REF!</definedName>
    <definedName name="V_à_15c_m3_h_AR38" localSheetId="12">#REF!</definedName>
    <definedName name="V_à_15c_m3_h_AR38">#REF!</definedName>
    <definedName name="V_à_15c_m3_h_AR39" localSheetId="12">#REF!</definedName>
    <definedName name="V_à_15c_m3_h_AR39">#REF!</definedName>
    <definedName name="V_à_15c_m3_h_AR40" localSheetId="12">#REF!</definedName>
    <definedName name="V_à_15c_m3_h_AR40">#REF!</definedName>
    <definedName name="V_à_15c_m3_h_AR41" localSheetId="12">#REF!</definedName>
    <definedName name="V_à_15c_m3_h_AR41">#REF!</definedName>
    <definedName name="V_à_15c_m3_h_AR42" localSheetId="12">#REF!</definedName>
    <definedName name="V_à_15c_m3_h_AR42">#REF!</definedName>
    <definedName name="V_à_15c_m3_h_AR43" localSheetId="12">#REF!</definedName>
    <definedName name="V_à_15c_m3_h_AR43">#REF!</definedName>
    <definedName name="V_à_15c_m3_h_AR44" localSheetId="12">#REF!</definedName>
    <definedName name="V_à_15c_m3_h_AR44">#REF!</definedName>
    <definedName name="V_à_15c_m3_h_AR58" localSheetId="12">#REF!</definedName>
    <definedName name="V_à_15c_m3_h_AR58">#REF!</definedName>
    <definedName name="V_à_15c_m3_h_AR6" localSheetId="12">#REF!</definedName>
    <definedName name="V_à_15c_m3_h_AR6">#REF!</definedName>
    <definedName name="V_à_15c_m3_h_AR60" localSheetId="12">#REF!</definedName>
    <definedName name="V_à_15c_m3_h_AR60">#REF!</definedName>
    <definedName name="V_à_15c_m3_h_AR61" localSheetId="12">#REF!</definedName>
    <definedName name="V_à_15c_m3_h_AR61">#REF!</definedName>
    <definedName name="V_à_15c_m3_h_AR62" localSheetId="12">#REF!</definedName>
    <definedName name="V_à_15c_m3_h_AR62">#REF!</definedName>
    <definedName name="V_à_15c_m3_h_AR64" localSheetId="12">#REF!</definedName>
    <definedName name="V_à_15c_m3_h_AR64">#REF!</definedName>
    <definedName name="V_à_15c_m3_h_AR65" localSheetId="12">#REF!</definedName>
    <definedName name="V_à_15c_m3_h_AR65">#REF!</definedName>
    <definedName name="V_à_15c_m3_h_AR66" localSheetId="12">#REF!</definedName>
    <definedName name="V_à_15c_m3_h_AR66">#REF!</definedName>
    <definedName name="V_à_15c_m3_h_AR67" localSheetId="12">#REF!</definedName>
    <definedName name="V_à_15c_m3_h_AR67">#REF!</definedName>
    <definedName name="V_à_15c_m3_h_AR68" localSheetId="12">#REF!</definedName>
    <definedName name="V_à_15c_m3_h_AR68">#REF!</definedName>
    <definedName name="V_à_15c_m3_h_AR7" localSheetId="12">#REF!</definedName>
    <definedName name="V_à_15c_m3_h_AR7">#REF!</definedName>
    <definedName name="V_à_15c_m3_h_AR8" localSheetId="12">#REF!</definedName>
    <definedName name="V_à_15c_m3_h_AR8">#REF!</definedName>
    <definedName name="V_à_15c_m3_h_GS1" localSheetId="12">#REF!</definedName>
    <definedName name="V_à_15c_m3_h_GS1">#REF!</definedName>
    <definedName name="V_à_15c_m3_h_GS14" localSheetId="12">#REF!</definedName>
    <definedName name="V_à_15c_m3_h_GS14">#REF!</definedName>
    <definedName name="V_à_15c_m3_h_GS17" localSheetId="12">#REF!</definedName>
    <definedName name="V_à_15c_m3_h_GS17">#REF!</definedName>
    <definedName name="V_à_15c_m3_h_GS18" localSheetId="12">#REF!</definedName>
    <definedName name="V_à_15c_m3_h_GS18">#REF!</definedName>
    <definedName name="V_à_15c_m3_h_GS5" localSheetId="12">#REF!</definedName>
    <definedName name="V_à_15c_m3_h_GS5">#REF!</definedName>
    <definedName name="V_à_15c_m3_h_GS7" localSheetId="12">#REF!</definedName>
    <definedName name="V_à_15c_m3_h_GS7">#REF!</definedName>
    <definedName name="VENTES_AU_MARCHE_NATIONAL" localSheetId="12">[3]CAFF99!#REF!</definedName>
    <definedName name="VENTES_AU_MARCHE_NATIONAL">[3]CAFF99!#REF!</definedName>
    <definedName name="VOLUMES_EXPORTES" localSheetId="1">#REF!</definedName>
    <definedName name="VOLUMES_EXPORTES" localSheetId="12">#REF!</definedName>
    <definedName name="VOLUMES_EXPORTES">#REF!</definedName>
    <definedName name="_xlnm.Print_Area" localSheetId="13">Emploi!$B$1:$H$18</definedName>
    <definedName name="_xlnm.Print_Area" localSheetId="8">'Export Val'!$B$2:$K$34</definedName>
    <definedName name="_xlnm.Print_Area" localSheetId="7">'Export Vol'!$B$1:$U$28</definedName>
    <definedName name="_xlnm.Print_Area" localSheetId="1">'Forages  '!$B$2:$W$28</definedName>
    <definedName name="_xlnm.Print_Area" localSheetId="12">'Investissements   '!$B$2:$H$30</definedName>
    <definedName name="_xlnm.Print_Area" localSheetId="4">LQS!$B$1:$U$20</definedName>
    <definedName name="_xlnm.Print_Area" localSheetId="10">'MN Val'!$B$1:$M$17</definedName>
    <definedName name="_xlnm.Print_Area" localSheetId="9">'MN Vol'!$B$1:$U$17</definedName>
    <definedName name="_xlnm.Print_Area" localSheetId="0">'Page de garde'!$A$1:$F$32</definedName>
    <definedName name="_xlnm.Print_Area" localSheetId="6">Pétrochimie!$A$1:$U$29</definedName>
    <definedName name="_xlnm.Print_Area" localSheetId="11">'PR Vol'!$B$1:$U$26</definedName>
    <definedName name="_xlnm.Print_Area" localSheetId="2">Production!$B$1:$U$27</definedName>
    <definedName name="_xlnm.Print_Area" localSheetId="5">Raffinage!$B$1:$U$36</definedName>
    <definedName name="_xlnm.Print_Area" localSheetId="3">TRC!$B$1:$U$19</definedName>
    <definedName name="_xlnm.Print_Area">#REF!</definedName>
    <definedName name="Zotti_Consommation" localSheetId="1">#REF!</definedName>
    <definedName name="Zotti_Consommation" localSheetId="12">#REF!</definedName>
    <definedName name="Zotti_Consommation">#REF!</definedName>
    <definedName name="Zotti_Gas_Lift_Inj_total" localSheetId="12">#REF!</definedName>
    <definedName name="Zotti_Gas_Lift_Inj_total">#REF!</definedName>
    <definedName name="Zotti_Gaz_form_HP" localSheetId="12">#REF!</definedName>
    <definedName name="Zotti_Gaz_form_HP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4" i="77" l="1"/>
  <c r="H27" i="77"/>
  <c r="H26" i="77"/>
  <c r="H25" i="77"/>
  <c r="H24" i="77"/>
  <c r="H23" i="77"/>
  <c r="H22" i="77"/>
  <c r="H21" i="77"/>
  <c r="H20" i="77"/>
  <c r="H19" i="77"/>
  <c r="H18" i="77"/>
  <c r="H17" i="77"/>
  <c r="H16" i="77"/>
  <c r="H15" i="77"/>
  <c r="H14" i="77"/>
  <c r="H13" i="77"/>
  <c r="H12" i="77"/>
  <c r="H11" i="77"/>
  <c r="H10" i="77"/>
  <c r="H9" i="77"/>
  <c r="H8" i="77"/>
  <c r="F7" i="77"/>
  <c r="D7" i="77"/>
  <c r="H7" i="77" s="1"/>
  <c r="U28" i="76"/>
  <c r="T28" i="76"/>
  <c r="S28" i="76"/>
  <c r="R28" i="76"/>
  <c r="Q28" i="76"/>
  <c r="U27" i="76"/>
  <c r="T27" i="76"/>
  <c r="S27" i="76"/>
  <c r="R27" i="76"/>
  <c r="Q27" i="76"/>
  <c r="U26" i="76"/>
  <c r="T26" i="76"/>
  <c r="S26" i="76"/>
  <c r="R26" i="76"/>
  <c r="Q26" i="76"/>
  <c r="U25" i="76"/>
  <c r="T25" i="76"/>
  <c r="S25" i="76"/>
  <c r="R25" i="76"/>
  <c r="Q25" i="76"/>
  <c r="U24" i="76"/>
  <c r="T24" i="76"/>
  <c r="S24" i="76"/>
  <c r="R24" i="76"/>
  <c r="Q24" i="76"/>
  <c r="U23" i="76"/>
  <c r="R23" i="76"/>
  <c r="Q23" i="76"/>
  <c r="T23" i="76"/>
  <c r="U19" i="76"/>
  <c r="T19" i="76"/>
  <c r="S19" i="76"/>
  <c r="R19" i="76"/>
  <c r="Q19" i="76"/>
  <c r="U18" i="76"/>
  <c r="T18" i="76"/>
  <c r="S18" i="76"/>
  <c r="R18" i="76"/>
  <c r="Q18" i="76"/>
  <c r="U17" i="76"/>
  <c r="T17" i="76"/>
  <c r="S17" i="76"/>
  <c r="R17" i="76"/>
  <c r="Q17" i="76"/>
  <c r="U16" i="76"/>
  <c r="T16" i="76"/>
  <c r="S16" i="76"/>
  <c r="R16" i="76"/>
  <c r="Q16" i="76"/>
  <c r="U15" i="76"/>
  <c r="T15" i="76"/>
  <c r="S15" i="76"/>
  <c r="R15" i="76"/>
  <c r="Q15" i="76"/>
  <c r="U14" i="76"/>
  <c r="Q14" i="76"/>
  <c r="U13" i="76"/>
  <c r="T13" i="76"/>
  <c r="S13" i="76"/>
  <c r="R13" i="76"/>
  <c r="Q13" i="76"/>
  <c r="U12" i="76"/>
  <c r="T12" i="76"/>
  <c r="S12" i="76"/>
  <c r="R12" i="76"/>
  <c r="Q12" i="76"/>
  <c r="T11" i="76"/>
  <c r="R11" i="76"/>
  <c r="Q11" i="76"/>
  <c r="U10" i="76"/>
  <c r="T10" i="76"/>
  <c r="S10" i="76"/>
  <c r="R10" i="76"/>
  <c r="Q10" i="76"/>
  <c r="U9" i="76"/>
  <c r="T9" i="76"/>
  <c r="S9" i="76"/>
  <c r="R9" i="76"/>
  <c r="Q9" i="76"/>
  <c r="U8" i="76"/>
  <c r="Q8" i="76"/>
  <c r="S8" i="76"/>
  <c r="R8" i="76"/>
  <c r="T8" i="76"/>
  <c r="S11" i="76" l="1"/>
  <c r="R14" i="76"/>
  <c r="S14" i="76"/>
  <c r="S23" i="76"/>
  <c r="U11" i="76"/>
  <c r="T14" i="76"/>
  <c r="H29" i="77" l="1"/>
  <c r="H30" i="77"/>
  <c r="P19" i="7" l="1"/>
  <c r="G5" i="9" l="1"/>
  <c r="F5" i="9"/>
  <c r="L4" i="9"/>
  <c r="I4" i="9"/>
  <c r="G5" i="7"/>
  <c r="F5" i="7"/>
  <c r="L4" i="7"/>
  <c r="I4" i="7"/>
  <c r="G5" i="6"/>
  <c r="F5" i="6"/>
  <c r="L4" i="6"/>
  <c r="I4" i="6"/>
  <c r="G5" i="19"/>
  <c r="F5" i="19"/>
  <c r="L4" i="19"/>
  <c r="I4" i="19"/>
  <c r="G5" i="5"/>
  <c r="F5" i="5"/>
  <c r="L4" i="5"/>
  <c r="I4" i="5"/>
  <c r="L4" i="4"/>
  <c r="I4" i="4"/>
  <c r="G5" i="4"/>
  <c r="F5" i="4"/>
  <c r="L4" i="3" l="1"/>
  <c r="I4" i="3"/>
  <c r="G5" i="3"/>
  <c r="F5" i="3"/>
  <c r="P21" i="5" l="1"/>
  <c r="T15" i="5" l="1"/>
  <c r="Q11" i="9" l="1"/>
  <c r="F5" i="8" l="1"/>
  <c r="I5" i="8" s="1"/>
  <c r="Q8" i="9"/>
  <c r="T8" i="9"/>
  <c r="T12" i="5" l="1"/>
  <c r="Q10" i="9" l="1"/>
  <c r="Q9" i="9"/>
  <c r="U16" i="19" l="1"/>
  <c r="U29" i="19"/>
  <c r="Q27" i="6"/>
  <c r="T27" i="6"/>
  <c r="Q28" i="6"/>
  <c r="T28" i="6"/>
  <c r="J29" i="13" l="1"/>
  <c r="T26" i="6"/>
  <c r="J28" i="13"/>
  <c r="Q26" i="6"/>
  <c r="J27" i="13" l="1"/>
  <c r="T29" i="19"/>
  <c r="S29" i="19"/>
  <c r="R29" i="19"/>
  <c r="Q29" i="19"/>
  <c r="S16" i="19"/>
  <c r="T16" i="19"/>
  <c r="R16" i="19"/>
  <c r="Q16" i="19"/>
  <c r="Q24" i="5"/>
  <c r="J20" i="13" l="1"/>
  <c r="G5" i="8" l="1"/>
  <c r="Q27" i="2" l="1"/>
  <c r="T27" i="2"/>
  <c r="L16" i="8" l="1"/>
  <c r="L15" i="8"/>
  <c r="L14" i="8"/>
  <c r="T16" i="7"/>
  <c r="T14" i="7"/>
  <c r="Q14" i="7"/>
  <c r="L17" i="8" l="1"/>
  <c r="J5" i="8" l="1"/>
  <c r="T35" i="5"/>
  <c r="J19" i="13"/>
  <c r="J17" i="13" l="1"/>
  <c r="Q35" i="5"/>
  <c r="T26" i="2" l="1"/>
  <c r="Q26" i="2"/>
  <c r="T25" i="2"/>
  <c r="Q25" i="2"/>
  <c r="Q24" i="2" l="1"/>
  <c r="T24" i="2"/>
  <c r="Q19" i="6" l="1"/>
  <c r="T19" i="6"/>
  <c r="G5" i="13" l="1"/>
  <c r="T16" i="2" l="1"/>
  <c r="H5" i="13" l="1"/>
  <c r="T34" i="5" l="1"/>
  <c r="Q34" i="5"/>
  <c r="H16" i="12" l="1"/>
  <c r="H13" i="12"/>
  <c r="H12" i="12"/>
  <c r="H17" i="12" l="1"/>
  <c r="H10" i="12"/>
  <c r="H15" i="12"/>
  <c r="H14" i="12"/>
  <c r="H9" i="12"/>
  <c r="H8" i="12"/>
  <c r="H11" i="12" l="1"/>
  <c r="T33" i="5" l="1"/>
  <c r="T16" i="3" l="1"/>
  <c r="Q16" i="3"/>
  <c r="Q8" i="4"/>
  <c r="Q15" i="2"/>
  <c r="T15" i="2"/>
  <c r="T12" i="2"/>
  <c r="Q14" i="3"/>
  <c r="T14" i="3"/>
  <c r="T15" i="3"/>
  <c r="L9" i="8"/>
  <c r="Q17" i="2"/>
  <c r="T17" i="2"/>
  <c r="Q7" i="3"/>
  <c r="T7" i="3"/>
  <c r="T17" i="3"/>
  <c r="Q17" i="3"/>
  <c r="Q10" i="3"/>
  <c r="T10" i="3"/>
  <c r="Q21" i="9"/>
  <c r="T21" i="9"/>
  <c r="L8" i="8"/>
  <c r="T22" i="9"/>
  <c r="Q22" i="9"/>
  <c r="Q23" i="9"/>
  <c r="L7" i="8"/>
  <c r="T15" i="7"/>
  <c r="Q15" i="7"/>
  <c r="Q24" i="9"/>
  <c r="T24" i="9"/>
  <c r="T8" i="7"/>
  <c r="T17" i="4"/>
  <c r="T8" i="4"/>
  <c r="Q19" i="4"/>
  <c r="T10" i="4"/>
  <c r="T16" i="4"/>
  <c r="Q16" i="4"/>
  <c r="Q18" i="4"/>
  <c r="T19" i="4"/>
  <c r="Q12" i="2"/>
  <c r="T23" i="9"/>
  <c r="L10" i="8"/>
  <c r="Q13" i="2"/>
  <c r="Q14" i="2"/>
  <c r="Q19" i="3"/>
  <c r="T19" i="3"/>
  <c r="Q11" i="2"/>
  <c r="T11" i="2"/>
  <c r="T9" i="3"/>
  <c r="Q9" i="3"/>
  <c r="Q8" i="3"/>
  <c r="T8" i="3"/>
  <c r="T13" i="2"/>
  <c r="T14" i="2"/>
  <c r="Q15" i="3"/>
  <c r="Q20" i="9"/>
  <c r="T20" i="9"/>
  <c r="T7" i="7"/>
  <c r="Q7" i="7"/>
  <c r="Q8" i="7"/>
  <c r="T9" i="4"/>
  <c r="T13" i="4"/>
  <c r="Q10" i="4"/>
  <c r="Q13" i="4"/>
  <c r="Q9" i="4"/>
  <c r="T18" i="4"/>
  <c r="T10" i="2"/>
  <c r="Q10" i="2"/>
  <c r="T12" i="3"/>
  <c r="Q12" i="3"/>
  <c r="Q25" i="9"/>
  <c r="T25" i="9"/>
  <c r="Q20" i="4"/>
  <c r="Q17" i="4"/>
  <c r="Q7" i="4"/>
  <c r="T7" i="4"/>
  <c r="T20" i="4"/>
  <c r="T11" i="4"/>
  <c r="Q11" i="4"/>
  <c r="Q9" i="2"/>
  <c r="T9" i="2"/>
  <c r="Q30" i="5"/>
  <c r="T30" i="5"/>
  <c r="Q15" i="5"/>
  <c r="Q12" i="5"/>
  <c r="Q27" i="5"/>
  <c r="T27" i="5"/>
  <c r="T8" i="5"/>
  <c r="Q8" i="5"/>
  <c r="Q33" i="5"/>
  <c r="T26" i="5"/>
  <c r="Q26" i="5"/>
  <c r="T11" i="5"/>
  <c r="Q11" i="5"/>
  <c r="T10" i="5"/>
  <c r="Q9" i="5"/>
  <c r="T9" i="5"/>
  <c r="T32" i="5"/>
  <c r="Q19" i="5"/>
  <c r="T19" i="5"/>
  <c r="Q29" i="5"/>
  <c r="T29" i="5"/>
  <c r="T28" i="5"/>
  <c r="Q28" i="5"/>
  <c r="T25" i="5"/>
  <c r="Q25" i="5"/>
  <c r="T16" i="5"/>
  <c r="Q16" i="5"/>
  <c r="Q10" i="5"/>
  <c r="T24" i="5"/>
  <c r="Q32" i="5"/>
  <c r="T13" i="5"/>
  <c r="Q17" i="5"/>
  <c r="Q20" i="5"/>
  <c r="T20" i="5"/>
  <c r="Q13" i="5"/>
  <c r="T17" i="5"/>
  <c r="Q31" i="5"/>
  <c r="T31" i="5"/>
  <c r="Q36" i="5"/>
  <c r="T36" i="5"/>
  <c r="T17" i="7" l="1"/>
  <c r="Q17" i="7"/>
  <c r="H18" i="12" l="1"/>
  <c r="H7" i="12"/>
  <c r="Q8" i="2" l="1"/>
  <c r="T8" i="2"/>
  <c r="T21" i="2" l="1"/>
  <c r="Q21" i="2"/>
  <c r="Q7" i="2"/>
  <c r="T7" i="2"/>
  <c r="Q18" i="2" l="1"/>
  <c r="T18" i="2"/>
  <c r="Q22" i="2" l="1"/>
  <c r="T22" i="2"/>
  <c r="Q16" i="2"/>
  <c r="Q20" i="2" l="1"/>
  <c r="T20" i="2"/>
  <c r="J12" i="13" l="1"/>
  <c r="J16" i="13"/>
  <c r="J13" i="13" l="1"/>
  <c r="J21" i="13"/>
  <c r="J18" i="13"/>
  <c r="J11" i="13"/>
  <c r="J9" i="13"/>
  <c r="T20" i="6"/>
  <c r="Q20" i="6"/>
  <c r="Q12" i="9"/>
  <c r="T12" i="9"/>
  <c r="Q13" i="9"/>
  <c r="T13" i="9"/>
  <c r="T9" i="9"/>
  <c r="T10" i="9"/>
  <c r="T11" i="9"/>
  <c r="Q18" i="6"/>
  <c r="T18" i="6"/>
  <c r="Q16" i="6"/>
  <c r="T16" i="6"/>
  <c r="Q15" i="6"/>
  <c r="T15" i="6"/>
  <c r="T12" i="6"/>
  <c r="Q12" i="6"/>
  <c r="Q11" i="6"/>
  <c r="T11" i="6"/>
  <c r="Q9" i="6"/>
  <c r="T9" i="6"/>
  <c r="Q8" i="6"/>
  <c r="T8" i="6"/>
  <c r="J10" i="13" l="1"/>
  <c r="J25" i="13"/>
  <c r="J15" i="13"/>
  <c r="J8" i="13"/>
  <c r="Q14" i="9"/>
  <c r="T14" i="9"/>
  <c r="T17" i="6"/>
  <c r="Q17" i="6"/>
  <c r="T14" i="6"/>
  <c r="Q14" i="6"/>
  <c r="Q10" i="6"/>
  <c r="T10" i="6"/>
  <c r="Q7" i="6"/>
  <c r="T7" i="6"/>
  <c r="T24" i="6"/>
  <c r="Q24" i="6"/>
  <c r="J7" i="13" l="1"/>
  <c r="J14" i="13"/>
  <c r="J24" i="13"/>
  <c r="Q13" i="6"/>
  <c r="T13" i="6"/>
  <c r="Q22" i="6"/>
  <c r="T22" i="6"/>
  <c r="J23" i="13" l="1"/>
  <c r="T23" i="6"/>
  <c r="Q23" i="6"/>
  <c r="U12" i="9" l="1"/>
  <c r="S12" i="9"/>
  <c r="R12" i="9"/>
  <c r="U34" i="5" l="1"/>
  <c r="R34" i="5"/>
  <c r="S34" i="5"/>
  <c r="U33" i="5"/>
  <c r="R33" i="5"/>
  <c r="S33" i="5"/>
  <c r="Q19" i="19" l="1"/>
  <c r="T19" i="19"/>
  <c r="Q20" i="19" l="1"/>
  <c r="T20" i="19"/>
  <c r="Q26" i="19" l="1"/>
  <c r="T26" i="19"/>
  <c r="Q23" i="19"/>
  <c r="T23" i="19"/>
  <c r="Q22" i="19"/>
  <c r="T22" i="19"/>
  <c r="Q21" i="19"/>
  <c r="T21" i="19"/>
  <c r="T13" i="19"/>
  <c r="Q13" i="19"/>
  <c r="Q10" i="19"/>
  <c r="T10" i="19"/>
  <c r="T7" i="19"/>
  <c r="Q7" i="19"/>
  <c r="T9" i="19"/>
  <c r="Q9" i="19"/>
  <c r="Q8" i="19"/>
  <c r="T8" i="19"/>
  <c r="J32" i="13" l="1"/>
  <c r="J31" i="13" l="1"/>
  <c r="J33" i="13"/>
  <c r="T9" i="7" l="1"/>
  <c r="Q9" i="7"/>
  <c r="T10" i="7" l="1"/>
  <c r="Q10" i="7"/>
  <c r="S18" i="6" l="1"/>
  <c r="S25" i="2" l="1"/>
  <c r="M16" i="8" l="1"/>
  <c r="M14" i="8"/>
  <c r="R26" i="2" l="1"/>
  <c r="U26" i="2"/>
  <c r="S26" i="2"/>
  <c r="U25" i="2"/>
  <c r="K33" i="13"/>
  <c r="K32" i="13"/>
  <c r="R25" i="2"/>
  <c r="S24" i="2" l="1"/>
  <c r="U24" i="2"/>
  <c r="R24" i="2"/>
  <c r="K31" i="13"/>
  <c r="U27" i="6" l="1"/>
  <c r="R27" i="6"/>
  <c r="S27" i="6"/>
  <c r="S28" i="6"/>
  <c r="R28" i="6"/>
  <c r="U28" i="6"/>
  <c r="U26" i="6" l="1"/>
  <c r="S26" i="6"/>
  <c r="R26" i="6"/>
  <c r="M17" i="8" l="1"/>
  <c r="M15" i="8"/>
  <c r="U16" i="7" l="1"/>
  <c r="U24" i="9" l="1"/>
  <c r="R24" i="9"/>
  <c r="S24" i="9"/>
  <c r="S14" i="7"/>
  <c r="U14" i="7"/>
  <c r="R14" i="7"/>
  <c r="K19" i="13" l="1"/>
  <c r="K20" i="13" l="1"/>
  <c r="S35" i="5" l="1"/>
  <c r="R35" i="5"/>
  <c r="U35" i="5"/>
  <c r="U15" i="7" l="1"/>
  <c r="S15" i="7"/>
  <c r="U17" i="7" l="1"/>
  <c r="S17" i="7"/>
  <c r="S26" i="19" l="1"/>
  <c r="S7" i="19"/>
  <c r="U19" i="19" l="1"/>
  <c r="S19" i="19"/>
  <c r="R19" i="19"/>
  <c r="U15" i="6"/>
  <c r="R15" i="6"/>
  <c r="S15" i="6"/>
  <c r="U18" i="6"/>
  <c r="R18" i="6"/>
  <c r="U9" i="6"/>
  <c r="R9" i="6"/>
  <c r="S9" i="6"/>
  <c r="R19" i="6"/>
  <c r="S19" i="6"/>
  <c r="U19" i="6"/>
  <c r="U20" i="6"/>
  <c r="S20" i="6"/>
  <c r="R20" i="6"/>
  <c r="U16" i="6"/>
  <c r="R16" i="6"/>
  <c r="S16" i="6"/>
  <c r="S12" i="6"/>
  <c r="R12" i="6"/>
  <c r="U12" i="6"/>
  <c r="R11" i="6"/>
  <c r="U11" i="6"/>
  <c r="S11" i="6"/>
  <c r="U8" i="6"/>
  <c r="R8" i="6"/>
  <c r="S8" i="6"/>
  <c r="R7" i="6" l="1"/>
  <c r="S7" i="6"/>
  <c r="U7" i="6"/>
  <c r="R17" i="6"/>
  <c r="U17" i="6"/>
  <c r="S17" i="6"/>
  <c r="U14" i="6"/>
  <c r="S14" i="6"/>
  <c r="R14" i="6"/>
  <c r="U10" i="6"/>
  <c r="S10" i="6"/>
  <c r="R10" i="6"/>
  <c r="S24" i="6"/>
  <c r="R24" i="6"/>
  <c r="U24" i="6"/>
  <c r="S20" i="19" l="1"/>
  <c r="U20" i="19"/>
  <c r="R20" i="19" l="1"/>
  <c r="R17" i="7" l="1"/>
  <c r="R15" i="7"/>
  <c r="S9" i="7" l="1"/>
  <c r="S13" i="6" l="1"/>
  <c r="R13" i="6"/>
  <c r="U13" i="6"/>
  <c r="S27" i="2"/>
  <c r="R27" i="2"/>
  <c r="U27" i="2"/>
  <c r="S8" i="2"/>
  <c r="R18" i="2" l="1"/>
  <c r="S18" i="2"/>
  <c r="U18" i="2"/>
  <c r="U23" i="6"/>
  <c r="R23" i="6"/>
  <c r="S23" i="6"/>
  <c r="U17" i="2"/>
  <c r="S17" i="2"/>
  <c r="R17" i="2"/>
  <c r="U22" i="6"/>
  <c r="R22" i="6"/>
  <c r="S22" i="6"/>
  <c r="R16" i="2" l="1"/>
  <c r="S16" i="2"/>
  <c r="U16" i="2"/>
  <c r="S21" i="9" l="1"/>
  <c r="R21" i="9"/>
  <c r="U21" i="9"/>
  <c r="R11" i="9"/>
  <c r="S11" i="9"/>
  <c r="U11" i="9"/>
  <c r="S20" i="9"/>
  <c r="R20" i="9"/>
  <c r="U20" i="9"/>
  <c r="U9" i="9"/>
  <c r="S9" i="9"/>
  <c r="R9" i="9"/>
  <c r="S10" i="9"/>
  <c r="R10" i="9"/>
  <c r="U10" i="9"/>
  <c r="S13" i="9"/>
  <c r="R13" i="9"/>
  <c r="U13" i="9"/>
  <c r="R23" i="9"/>
  <c r="U23" i="9"/>
  <c r="S23" i="9"/>
  <c r="U8" i="9"/>
  <c r="S8" i="9"/>
  <c r="R8" i="9"/>
  <c r="U22" i="9"/>
  <c r="S22" i="9"/>
  <c r="R22" i="9"/>
  <c r="R9" i="7"/>
  <c r="U9" i="7"/>
  <c r="K21" i="13"/>
  <c r="R26" i="19"/>
  <c r="R7" i="19"/>
  <c r="U26" i="19"/>
  <c r="U7" i="19"/>
  <c r="K12" i="13" l="1"/>
  <c r="M9" i="8"/>
  <c r="S9" i="19"/>
  <c r="R9" i="19"/>
  <c r="U9" i="19"/>
  <c r="K17" i="13"/>
  <c r="K18" i="13"/>
  <c r="U8" i="19"/>
  <c r="S8" i="19"/>
  <c r="R8" i="19"/>
  <c r="S21" i="19"/>
  <c r="U21" i="19"/>
  <c r="R21" i="19"/>
  <c r="K11" i="13"/>
  <c r="K16" i="13"/>
  <c r="S22" i="19"/>
  <c r="U22" i="19"/>
  <c r="R22" i="19"/>
  <c r="R8" i="7"/>
  <c r="S8" i="7"/>
  <c r="U8" i="7"/>
  <c r="U13" i="19"/>
  <c r="R13" i="19"/>
  <c r="S13" i="19"/>
  <c r="K8" i="13"/>
  <c r="K9" i="13"/>
  <c r="M7" i="8"/>
  <c r="U14" i="9"/>
  <c r="S14" i="9"/>
  <c r="R14" i="9"/>
  <c r="R25" i="9"/>
  <c r="S25" i="9"/>
  <c r="U25" i="9"/>
  <c r="R10" i="19"/>
  <c r="U10" i="19"/>
  <c r="S10" i="19"/>
  <c r="U23" i="19"/>
  <c r="R23" i="19"/>
  <c r="S23" i="19"/>
  <c r="K13" i="13"/>
  <c r="K15" i="13"/>
  <c r="K14" i="13"/>
  <c r="S7" i="7"/>
  <c r="U7" i="7"/>
  <c r="R7" i="7"/>
  <c r="M8" i="8"/>
  <c r="K10" i="13" l="1"/>
  <c r="M10" i="8"/>
  <c r="K7" i="13"/>
  <c r="S32" i="5"/>
  <c r="R32" i="5"/>
  <c r="R28" i="5"/>
  <c r="S28" i="5"/>
  <c r="R27" i="5"/>
  <c r="S27" i="5"/>
  <c r="R29" i="5"/>
  <c r="S29" i="5"/>
  <c r="R31" i="5"/>
  <c r="S31" i="5"/>
  <c r="K25" i="13"/>
  <c r="K28" i="13"/>
  <c r="S25" i="5"/>
  <c r="R25" i="5"/>
  <c r="R30" i="5"/>
  <c r="S30" i="5"/>
  <c r="S10" i="7"/>
  <c r="U10" i="7"/>
  <c r="R10" i="7"/>
  <c r="K29" i="13"/>
  <c r="K24" i="13"/>
  <c r="U32" i="5"/>
  <c r="U31" i="5"/>
  <c r="U30" i="5"/>
  <c r="U29" i="5"/>
  <c r="U28" i="5"/>
  <c r="U27" i="5"/>
  <c r="U25" i="5"/>
  <c r="K23" i="13" l="1"/>
  <c r="S11" i="5"/>
  <c r="U11" i="5"/>
  <c r="R11" i="5"/>
  <c r="R16" i="5"/>
  <c r="U16" i="5"/>
  <c r="S16" i="5"/>
  <c r="U10" i="5"/>
  <c r="R10" i="5"/>
  <c r="S10" i="5"/>
  <c r="U19" i="5"/>
  <c r="R19" i="5"/>
  <c r="S19" i="5"/>
  <c r="R8" i="5"/>
  <c r="U8" i="5"/>
  <c r="S8" i="5"/>
  <c r="R9" i="5"/>
  <c r="U9" i="5"/>
  <c r="S9" i="5"/>
  <c r="R24" i="5"/>
  <c r="S24" i="5"/>
  <c r="U24" i="5"/>
  <c r="K27" i="13"/>
  <c r="U12" i="5"/>
  <c r="S12" i="5"/>
  <c r="R12" i="5"/>
  <c r="R15" i="5"/>
  <c r="S15" i="5"/>
  <c r="U15" i="5"/>
  <c r="S17" i="5" l="1"/>
  <c r="R17" i="5"/>
  <c r="U17" i="5"/>
  <c r="S13" i="5"/>
  <c r="U13" i="5"/>
  <c r="R13" i="5"/>
  <c r="S20" i="5"/>
  <c r="U20" i="5"/>
  <c r="R20" i="5"/>
  <c r="U10" i="3" l="1"/>
  <c r="R10" i="3"/>
  <c r="S10" i="3"/>
  <c r="U17" i="4"/>
  <c r="S17" i="4"/>
  <c r="R17" i="4"/>
  <c r="R14" i="3"/>
  <c r="S14" i="3"/>
  <c r="U14" i="3"/>
  <c r="R18" i="4"/>
  <c r="U18" i="4"/>
  <c r="S18" i="4"/>
  <c r="R17" i="3"/>
  <c r="S17" i="3"/>
  <c r="U17" i="3"/>
  <c r="R7" i="3"/>
  <c r="U7" i="3"/>
  <c r="S7" i="3"/>
  <c r="U15" i="3"/>
  <c r="R15" i="3"/>
  <c r="S15" i="3"/>
  <c r="U7" i="4"/>
  <c r="R7" i="4"/>
  <c r="S7" i="4"/>
  <c r="S9" i="4"/>
  <c r="U9" i="4"/>
  <c r="R9" i="4"/>
  <c r="S19" i="4"/>
  <c r="U19" i="4"/>
  <c r="R19" i="4"/>
  <c r="U13" i="4"/>
  <c r="S13" i="4"/>
  <c r="R13" i="4"/>
  <c r="U8" i="4"/>
  <c r="S8" i="4"/>
  <c r="R8" i="4"/>
  <c r="R10" i="4"/>
  <c r="S10" i="4"/>
  <c r="U10" i="4"/>
  <c r="R8" i="3"/>
  <c r="S8" i="3"/>
  <c r="U8" i="3"/>
  <c r="R16" i="3"/>
  <c r="U16" i="3"/>
  <c r="S16" i="3"/>
  <c r="U16" i="4"/>
  <c r="S16" i="4"/>
  <c r="R16" i="4"/>
  <c r="U15" i="2" l="1"/>
  <c r="R15" i="2"/>
  <c r="S15" i="2"/>
  <c r="R11" i="4"/>
  <c r="S11" i="4"/>
  <c r="U11" i="4"/>
  <c r="R19" i="3"/>
  <c r="U19" i="3"/>
  <c r="S19" i="3"/>
  <c r="R14" i="2"/>
  <c r="S14" i="2"/>
  <c r="U14" i="2"/>
  <c r="U9" i="2"/>
  <c r="R9" i="2"/>
  <c r="S9" i="2"/>
  <c r="R8" i="2"/>
  <c r="U8" i="2"/>
  <c r="S12" i="2"/>
  <c r="R12" i="2"/>
  <c r="U12" i="2"/>
  <c r="U20" i="4"/>
  <c r="R20" i="4"/>
  <c r="S20" i="4"/>
  <c r="S7" i="2" l="1"/>
  <c r="U7" i="2"/>
  <c r="R7" i="2"/>
  <c r="U22" i="2"/>
  <c r="S22" i="2"/>
  <c r="R22" i="2"/>
  <c r="S13" i="2"/>
  <c r="R13" i="2"/>
  <c r="U13" i="2"/>
  <c r="S26" i="5" l="1"/>
  <c r="R26" i="5"/>
  <c r="U26" i="5"/>
  <c r="U36" i="5" l="1"/>
  <c r="S36" i="5"/>
  <c r="R36" i="5"/>
  <c r="U11" i="2" l="1"/>
  <c r="R11" i="2"/>
  <c r="S11" i="2"/>
  <c r="U21" i="2" l="1"/>
  <c r="S21" i="2"/>
  <c r="R21" i="2"/>
  <c r="R10" i="2"/>
  <c r="S10" i="2"/>
  <c r="U10" i="2"/>
  <c r="S20" i="2" l="1"/>
  <c r="U20" i="2"/>
  <c r="R20" i="2"/>
  <c r="R9" i="3" l="1"/>
  <c r="S9" i="3"/>
  <c r="U9" i="3"/>
  <c r="S12" i="3" l="1"/>
  <c r="R12" i="3"/>
  <c r="U12" i="3"/>
</calcChain>
</file>

<file path=xl/sharedStrings.xml><?xml version="1.0" encoding="utf-8"?>
<sst xmlns="http://schemas.openxmlformats.org/spreadsheetml/2006/main" count="541" uniqueCount="202">
  <si>
    <t xml:space="preserve">Objectif </t>
  </si>
  <si>
    <t>Taux de</t>
  </si>
  <si>
    <t>Prévision</t>
  </si>
  <si>
    <t>Réalisation</t>
  </si>
  <si>
    <t>Evolution</t>
  </si>
  <si>
    <t>Forage d'exploration</t>
  </si>
  <si>
    <t>(1)</t>
  </si>
  <si>
    <t>(2)</t>
  </si>
  <si>
    <t>(3)</t>
  </si>
  <si>
    <t>(4)</t>
  </si>
  <si>
    <t>(5)</t>
  </si>
  <si>
    <t>(6)</t>
  </si>
  <si>
    <t>(7)</t>
  </si>
  <si>
    <t>(4/3)</t>
  </si>
  <si>
    <t>(6/5)</t>
  </si>
  <si>
    <t>(6/7)</t>
  </si>
  <si>
    <t>Sismique 2D</t>
  </si>
  <si>
    <t>Km Profil</t>
  </si>
  <si>
    <t>Sismique 3D</t>
  </si>
  <si>
    <t>Volume d'activité</t>
  </si>
  <si>
    <t>Mètres forés</t>
  </si>
  <si>
    <t>Puits terminés</t>
  </si>
  <si>
    <t>Nombre</t>
  </si>
  <si>
    <t>Forage de développement</t>
  </si>
  <si>
    <t>Production primaire d'hydrocarbures</t>
  </si>
  <si>
    <t>Pétrole Brut</t>
  </si>
  <si>
    <r>
      <t>10</t>
    </r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 xml:space="preserve"> Tonnes</t>
    </r>
  </si>
  <si>
    <t>Sonatrach Seule</t>
  </si>
  <si>
    <t>Condensat</t>
  </si>
  <si>
    <t>GPL</t>
  </si>
  <si>
    <t>Gaz Naturel</t>
  </si>
  <si>
    <r>
      <t>10</t>
    </r>
    <r>
      <rPr>
        <vertAlign val="superscript"/>
        <sz val="10"/>
        <rFont val="Arial"/>
        <family val="2"/>
      </rPr>
      <t>6</t>
    </r>
    <r>
      <rPr>
        <sz val="10"/>
        <rFont val="Arial"/>
        <family val="2"/>
      </rPr>
      <t xml:space="preserve"> m</t>
    </r>
    <r>
      <rPr>
        <vertAlign val="superscript"/>
        <sz val="10"/>
        <rFont val="Arial"/>
        <family val="2"/>
      </rPr>
      <t>3</t>
    </r>
  </si>
  <si>
    <t>Production totale</t>
  </si>
  <si>
    <r>
      <t>10</t>
    </r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 xml:space="preserve"> TEP</t>
    </r>
  </si>
  <si>
    <t>Total réseau nord</t>
  </si>
  <si>
    <t>Total réseau sud</t>
  </si>
  <si>
    <t>Production de GNL et Séparation des GPL</t>
  </si>
  <si>
    <r>
      <t>10</t>
    </r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 xml:space="preserve"> m</t>
    </r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 xml:space="preserve"> GNL</t>
    </r>
  </si>
  <si>
    <t>Total Liquéfaction</t>
  </si>
  <si>
    <t xml:space="preserve">Gaz Entré </t>
  </si>
  <si>
    <t>Autoconsommation</t>
  </si>
  <si>
    <t>%</t>
  </si>
  <si>
    <t>GP1Z</t>
  </si>
  <si>
    <r>
      <t>10</t>
    </r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 xml:space="preserve"> Tonnes</t>
    </r>
  </si>
  <si>
    <t>GP2Z</t>
  </si>
  <si>
    <t>Complexes GNL</t>
  </si>
  <si>
    <t>Raffinage</t>
  </si>
  <si>
    <t>Traitement total de GPL</t>
  </si>
  <si>
    <t>Traitement des Raffineries</t>
  </si>
  <si>
    <t>RA1K</t>
  </si>
  <si>
    <t>RA1Z</t>
  </si>
  <si>
    <t>RA1G</t>
  </si>
  <si>
    <t>Traitement de Pétrole Brut</t>
  </si>
  <si>
    <t>Traitement de BRI</t>
  </si>
  <si>
    <t>RA2K</t>
  </si>
  <si>
    <t>Traitement de Condensat</t>
  </si>
  <si>
    <t>Production des Raffineries</t>
  </si>
  <si>
    <t>Gasoil</t>
  </si>
  <si>
    <t>Kéro-Jet</t>
  </si>
  <si>
    <t>Naphta</t>
  </si>
  <si>
    <t>Lubrifiants</t>
  </si>
  <si>
    <t>Aromatiques</t>
  </si>
  <si>
    <t>Production Totale</t>
  </si>
  <si>
    <t>Volume des exportations</t>
  </si>
  <si>
    <t>Associés</t>
  </si>
  <si>
    <t>Produits Raffinés</t>
  </si>
  <si>
    <t>GNL</t>
  </si>
  <si>
    <t>Total des exportations</t>
  </si>
  <si>
    <t>Chiffre d'Affaires des exportations</t>
  </si>
  <si>
    <t xml:space="preserve">Taux </t>
  </si>
  <si>
    <t>En Millions Dollars</t>
  </si>
  <si>
    <t>Volume des ventes au Marché National</t>
  </si>
  <si>
    <t>Marché National Tiers</t>
  </si>
  <si>
    <t>Gaz naturel</t>
  </si>
  <si>
    <r>
      <t>10</t>
    </r>
    <r>
      <rPr>
        <vertAlign val="superscript"/>
        <sz val="10"/>
        <rFont val="Arial"/>
        <family val="2"/>
      </rPr>
      <t>6</t>
    </r>
    <r>
      <rPr>
        <sz val="10"/>
        <rFont val="Arial"/>
        <family val="2"/>
      </rPr>
      <t xml:space="preserve"> m</t>
    </r>
    <r>
      <rPr>
        <vertAlign val="superscript"/>
        <sz val="10"/>
        <rFont val="Arial"/>
        <family val="2"/>
      </rPr>
      <t>3</t>
    </r>
  </si>
  <si>
    <t>Produit Raffinés</t>
  </si>
  <si>
    <t>Volume total</t>
  </si>
  <si>
    <r>
      <t>10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 xml:space="preserve"> TEP</t>
    </r>
  </si>
  <si>
    <t xml:space="preserve">Marché National unités Sonatrach </t>
  </si>
  <si>
    <t>Valeur des ventes au Marché National</t>
  </si>
  <si>
    <t>Total</t>
  </si>
  <si>
    <t>Volume des ventes des produits raffinés</t>
  </si>
  <si>
    <t>Exportations</t>
  </si>
  <si>
    <t>Kéro-jet</t>
  </si>
  <si>
    <t xml:space="preserve">Essence </t>
  </si>
  <si>
    <r>
      <t>10</t>
    </r>
    <r>
      <rPr>
        <vertAlign val="superscript"/>
        <sz val="9"/>
        <rFont val="Arial"/>
        <family val="2"/>
      </rPr>
      <t xml:space="preserve">3 </t>
    </r>
    <r>
      <rPr>
        <sz val="9"/>
        <rFont val="Arial"/>
        <family val="2"/>
      </rPr>
      <t>Tonnes</t>
    </r>
  </si>
  <si>
    <t>Réalisation des investissements en Algérie</t>
  </si>
  <si>
    <t>En Millions DA</t>
  </si>
  <si>
    <t>(1/2)</t>
  </si>
  <si>
    <t>Activité TRC</t>
  </si>
  <si>
    <t>Développement &amp; Réhabilitation</t>
  </si>
  <si>
    <t>Exploitation &amp; Gestion Réseau</t>
  </si>
  <si>
    <t>Total en Millions DA</t>
  </si>
  <si>
    <t>Total en Millions Dollars</t>
  </si>
  <si>
    <t>Situation des effectifs</t>
  </si>
  <si>
    <t xml:space="preserve">Situation </t>
  </si>
  <si>
    <t>Taux</t>
  </si>
  <si>
    <t>Permanents</t>
  </si>
  <si>
    <t xml:space="preserve"> Ingénieurs +</t>
  </si>
  <si>
    <t xml:space="preserve"> Cadres Universitaires</t>
  </si>
  <si>
    <t xml:space="preserve"> Autres Cadres</t>
  </si>
  <si>
    <t>Total Cadres</t>
  </si>
  <si>
    <t xml:space="preserve"> dont Cadres Sup.</t>
  </si>
  <si>
    <t>Mâitrise</t>
  </si>
  <si>
    <t xml:space="preserve"> dont T.Superieurs</t>
  </si>
  <si>
    <t>Exécution</t>
  </si>
  <si>
    <t xml:space="preserve">Temporaires </t>
  </si>
  <si>
    <t>dont Sûreté</t>
  </si>
  <si>
    <t xml:space="preserve">Effectif  Total  </t>
  </si>
  <si>
    <t>DCP SPE</t>
  </si>
  <si>
    <t>GL1/K</t>
  </si>
  <si>
    <t>GL1/Z</t>
  </si>
  <si>
    <t>GL2/Z</t>
  </si>
  <si>
    <t>GL3/Z</t>
  </si>
  <si>
    <t xml:space="preserve">Activité E &amp; P </t>
  </si>
  <si>
    <t>Exploration en effort propre</t>
  </si>
  <si>
    <t>Dévelop. &amp; Exploit. des gisements en effort propre</t>
  </si>
  <si>
    <t>Dévelop. &amp; Exploit. des gisements en association</t>
  </si>
  <si>
    <t>Activité LQS</t>
  </si>
  <si>
    <t xml:space="preserve">Développement </t>
  </si>
  <si>
    <t>Activité RPC</t>
  </si>
  <si>
    <r>
      <t>10</t>
    </r>
    <r>
      <rPr>
        <vertAlign val="superscript"/>
        <sz val="10"/>
        <color theme="1"/>
        <rFont val="Arial"/>
        <family val="2"/>
      </rPr>
      <t>6</t>
    </r>
    <r>
      <rPr>
        <sz val="10"/>
        <color theme="1"/>
        <rFont val="Arial"/>
        <family val="2"/>
      </rPr>
      <t xml:space="preserve"> DA</t>
    </r>
  </si>
  <si>
    <t xml:space="preserve">Fuel </t>
  </si>
  <si>
    <t xml:space="preserve">Bitumes </t>
  </si>
  <si>
    <t>White Spirit</t>
  </si>
  <si>
    <t>Structures de Soutien (FOR &amp; AST &amp; Laboratoire)</t>
  </si>
  <si>
    <t>Maintien,Fiabilité et Sécurité Division GNL &amp; GPL</t>
  </si>
  <si>
    <t>Autres (Infrastructures,zones industrielles, siége)</t>
  </si>
  <si>
    <t>Développement Raffinage</t>
  </si>
  <si>
    <t>Développement Pétrochimie</t>
  </si>
  <si>
    <t>Maintien fiabilité Sécurité</t>
  </si>
  <si>
    <t>RHM2</t>
  </si>
  <si>
    <t>Kéro Jet</t>
  </si>
  <si>
    <t>Huiles de Base</t>
  </si>
  <si>
    <t>Autres (Maintenance, Télécommunication &amp; Siège)</t>
  </si>
  <si>
    <t>EPM</t>
  </si>
  <si>
    <t>Transport par Canalisations</t>
  </si>
  <si>
    <t>En Effort propre</t>
  </si>
  <si>
    <t>En association / Partenariat</t>
  </si>
  <si>
    <t>En effort propre</t>
  </si>
  <si>
    <t>En Association</t>
  </si>
  <si>
    <t>RA1D</t>
  </si>
  <si>
    <t xml:space="preserve">Traitement et production des raffineries </t>
  </si>
  <si>
    <t>Autres</t>
  </si>
  <si>
    <t>Autres Investissements</t>
  </si>
  <si>
    <t>Pétrochimie</t>
  </si>
  <si>
    <t>Production CP1Z</t>
  </si>
  <si>
    <t xml:space="preserve">Méthanol </t>
  </si>
  <si>
    <t>Tonnes</t>
  </si>
  <si>
    <t>Résine Uréique Liquide</t>
  </si>
  <si>
    <t>Formurée UFC</t>
  </si>
  <si>
    <t>Formol</t>
  </si>
  <si>
    <t>Production CP2K</t>
  </si>
  <si>
    <t>PEHD</t>
  </si>
  <si>
    <t>Volume des ventes CP1Z</t>
  </si>
  <si>
    <t>Volume des ventes CP2K</t>
  </si>
  <si>
    <t>Méthanol à l'Exportation</t>
  </si>
  <si>
    <t>Méthanol Marché National</t>
  </si>
  <si>
    <t>(4/1)-1</t>
  </si>
  <si>
    <t>(6/2)-1</t>
  </si>
  <si>
    <t xml:space="preserve">(4/1)-1 </t>
  </si>
  <si>
    <t>(2/1)-1</t>
  </si>
  <si>
    <t>(3/1)-1</t>
  </si>
  <si>
    <t>(4/2)-1</t>
  </si>
  <si>
    <r>
      <t>10</t>
    </r>
    <r>
      <rPr>
        <vertAlign val="superscript"/>
        <sz val="9"/>
        <rFont val="Arial"/>
        <family val="2"/>
      </rPr>
      <t>3</t>
    </r>
    <r>
      <rPr>
        <vertAlign val="superscript"/>
        <sz val="10"/>
        <rFont val="Arial"/>
        <family val="2"/>
      </rPr>
      <t xml:space="preserve"> </t>
    </r>
    <r>
      <rPr>
        <sz val="10"/>
        <rFont val="Arial"/>
        <family val="2"/>
      </rPr>
      <t>Tonnes</t>
    </r>
  </si>
  <si>
    <t>Souffre</t>
  </si>
  <si>
    <t>Essence</t>
  </si>
  <si>
    <t xml:space="preserve">Gaz Naturel </t>
  </si>
  <si>
    <t xml:space="preserve">    Dont ventes pour compte (*)</t>
  </si>
  <si>
    <t>Exploration en partenariat</t>
  </si>
  <si>
    <t>Réalisation 2024</t>
  </si>
  <si>
    <t>Activités Exploration &amp; Forage de développement : Effort physique</t>
  </si>
  <si>
    <t>Slurry</t>
  </si>
  <si>
    <t>Gaz associé</t>
  </si>
  <si>
    <t>Dont déstiné à la vente</t>
  </si>
  <si>
    <t>-</t>
  </si>
  <si>
    <t>(*) Il s’agit des ventes du gaz pour le compte des partenaires Eni (Ourhoud II, Sif Fatima II et Zemlet El Arbi; 05-07 ), Total Energies (TFT II &amp; TFT sud; 19-13), TotalEnergies/Cepsa (Timimoun; 05-07)</t>
  </si>
  <si>
    <t>Production Projet MTBE</t>
  </si>
  <si>
    <t>ventes Projet MTBE</t>
  </si>
  <si>
    <t>Associe</t>
  </si>
  <si>
    <t>Fuel BTS et Slurry</t>
  </si>
  <si>
    <t>Réalisation 2025</t>
  </si>
  <si>
    <t>Butane /Propane</t>
  </si>
  <si>
    <t>Export Butane /Propane</t>
  </si>
  <si>
    <t>Butane</t>
  </si>
  <si>
    <t>Propane</t>
  </si>
  <si>
    <t>Butane / Propane</t>
  </si>
  <si>
    <t xml:space="preserve">Butane /Propane </t>
  </si>
  <si>
    <t>Total des exportations sans vente pour compte</t>
  </si>
  <si>
    <t>Autres*</t>
  </si>
  <si>
    <t>(*) Fuel BTS, Bitumes, Aromatiques et Reformat</t>
  </si>
  <si>
    <r>
      <t>Km</t>
    </r>
    <r>
      <rPr>
        <vertAlign val="superscript"/>
        <sz val="9"/>
        <rFont val="Arial"/>
        <family val="2"/>
      </rPr>
      <t>2</t>
    </r>
    <r>
      <rPr>
        <sz val="9"/>
        <rFont val="Arial"/>
        <family val="2"/>
      </rPr>
      <t xml:space="preserve"> Profil</t>
    </r>
  </si>
  <si>
    <t>Objectif révisé</t>
  </si>
  <si>
    <t>Décembre</t>
  </si>
  <si>
    <t>Cumul à fin décembre</t>
  </si>
  <si>
    <t>Décembre 2025</t>
  </si>
  <si>
    <t>Cumul à fin Décembre 2025</t>
  </si>
  <si>
    <t>à fin décembre 2024</t>
  </si>
  <si>
    <t>à fin décembre  2025</t>
  </si>
  <si>
    <t>Réalisation à fin décembre  2025</t>
  </si>
  <si>
    <t>Cumul à fin décembre 2025</t>
  </si>
  <si>
    <t xml:space="preserve"> Tableaux détaillés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</si>
</sst>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0.000"/>
    <numFmt numFmtId="166" formatCode="0.0"/>
    <numFmt numFmtId="167" formatCode="_-* #,##0\ _€_-;\-* #,##0\ _€_-;_-* &quot;-&quot;??\ _€_-;_-@_-"/>
    <numFmt numFmtId="168" formatCode="#,##0.0"/>
    <numFmt numFmtId="169" formatCode="_-* #,##0.0\ _€_-;\-* #,##0.0\ _€_-;_-* &quot;-&quot;??\ _€_-;_-@_-"/>
    <numFmt numFmtId="170" formatCode="0.0%"/>
    <numFmt numFmtId="171" formatCode="_-&quot;$&quot;* #,##0_-;\-&quot;$&quot;* #,##0_-;_-&quot;$&quot;* &quot;-&quot;_-;_-@_-"/>
    <numFmt numFmtId="172" formatCode="_-&quot;$&quot;* #,##0.00_-;\-&quot;$&quot;* #,##0.00_-;_-&quot;$&quot;* &quot;-&quot;??_-;_-@_-"/>
    <numFmt numFmtId="173" formatCode="_-* #,##0.0000\ _F_-;\-* #,##0.0000\ _F_-;_-* &quot;-&quot;??\ _F_-;_-@_-"/>
    <numFmt numFmtId="174" formatCode="_-* #,##0.00\ &quot;mk&quot;_-;\-* #,##0.00\ &quot;mk&quot;_-;_-* &quot;-&quot;??\ &quot;mk&quot;_-;_-@_-"/>
    <numFmt numFmtId="175" formatCode="#\ ##0"/>
    <numFmt numFmtId="176" formatCode="d\/mm\/yy"/>
    <numFmt numFmtId="177" formatCode="d\/mm\/yyyy"/>
    <numFmt numFmtId="178" formatCode="_-* #,##0\ _F_-;\-* #,##0\ _F_-;_-* &quot;-&quot;\ _F_-;_-@_-"/>
    <numFmt numFmtId="179" formatCode="_-* #,##0.00\ _F_-;\-* #,##0.00\ _F_-;_-* &quot;-&quot;??\ _F_-;_-@_-"/>
    <numFmt numFmtId="180" formatCode="_-* #,##0\ &quot;F&quot;_-;\-* #,##0\ &quot;F&quot;_-;_-* &quot;-&quot;\ &quot;F&quot;_-;_-@_-"/>
    <numFmt numFmtId="181" formatCode="_-* #,##0.00\ &quot;F&quot;_-;\-* #,##0.00\ &quot;F&quot;_-;_-* &quot;-&quot;??\ &quot;F&quot;_-;_-@_-"/>
    <numFmt numFmtId="182" formatCode="_-* #,##0.00\ [$€-1]_-;\-* #,##0.00\ [$€-1]_-;_-* &quot;-&quot;??\ [$€-1]_-"/>
    <numFmt numFmtId="183" formatCode="_-* #,##0.00\ _D_A_-;\-* #,##0.00\ _D_A_-;_-* &quot;-&quot;??\ _D_A_-;_-@_-"/>
    <numFmt numFmtId="184" formatCode="#,##0.00\ &quot;F&quot;;[Red]\-#,##0.00\ &quot;F&quot;"/>
    <numFmt numFmtId="185" formatCode="#.\ ##0"/>
    <numFmt numFmtId="186" formatCode="&quot; F&quot;#,##0;&quot; F&quot;\-#,##0"/>
    <numFmt numFmtId="187" formatCode="dd\/mm\/yy"/>
    <numFmt numFmtId="188" formatCode="#.0\ ##0"/>
    <numFmt numFmtId="189" formatCode="#,###\-"/>
    <numFmt numFmtId="190" formatCode="_-* #,##0.000000\ _€_-;\-* #,##0.000000\ _€_-;_-* &quot;-&quot;??\ _€_-;_-@_-"/>
    <numFmt numFmtId="191" formatCode="#,###"/>
    <numFmt numFmtId="192" formatCode="#,##0_ ;\-#,##0\ "/>
    <numFmt numFmtId="193" formatCode="_-* #,##0.00000000\ _€_-;\-* #,##0.00000000\ _€_-;_-* &quot;-&quot;??\ _€_-;_-@_-"/>
    <numFmt numFmtId="194" formatCode="#,##0.000"/>
    <numFmt numFmtId="195" formatCode="_-* #,##0.00000\ _€_-;\-* #,##0.00000\ _€_-;_-* &quot;-&quot;?????\ _€_-;_-@_-"/>
  </numFmts>
  <fonts count="7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16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i/>
      <sz val="9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i/>
      <sz val="11"/>
      <name val="Arial"/>
      <family val="2"/>
    </font>
    <font>
      <vertAlign val="superscript"/>
      <sz val="9"/>
      <name val="Arial"/>
      <family val="2"/>
    </font>
    <font>
      <b/>
      <i/>
      <sz val="10"/>
      <name val="Arial"/>
      <family val="2"/>
    </font>
    <font>
      <vertAlign val="superscript"/>
      <sz val="10"/>
      <name val="Arial"/>
      <family val="2"/>
    </font>
    <font>
      <sz val="16"/>
      <name val="Arial"/>
      <family val="2"/>
    </font>
    <font>
      <b/>
      <vertAlign val="superscript"/>
      <sz val="10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24"/>
      <name val="Arial"/>
      <family val="2"/>
    </font>
    <font>
      <b/>
      <sz val="24"/>
      <name val="Arial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i/>
      <sz val="11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vertAlign val="superscript"/>
      <sz val="10"/>
      <color theme="1"/>
      <name val="Arial"/>
      <family val="2"/>
    </font>
    <font>
      <sz val="12"/>
      <name val="Helv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sz val="14"/>
      <name val="Arial"/>
      <family val="2"/>
    </font>
    <font>
      <sz val="9"/>
      <name val="Times New Roman"/>
      <family val="1"/>
    </font>
    <font>
      <b/>
      <sz val="11"/>
      <color indexed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11"/>
      <color indexed="62"/>
      <name val="Calibri"/>
      <family val="2"/>
    </font>
    <font>
      <sz val="8"/>
      <name val="Helv"/>
    </font>
    <font>
      <sz val="11"/>
      <color indexed="20"/>
      <name val="Calibri"/>
      <family val="2"/>
    </font>
    <font>
      <sz val="11"/>
      <color indexed="19"/>
      <name val="Calibri"/>
      <family val="2"/>
    </font>
    <font>
      <sz val="11"/>
      <color indexed="58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7"/>
      <name val="Cambria"/>
      <family val="2"/>
    </font>
    <font>
      <b/>
      <sz val="15"/>
      <color indexed="57"/>
      <name val="Calibri"/>
      <family val="2"/>
    </font>
    <font>
      <b/>
      <sz val="13"/>
      <color indexed="57"/>
      <name val="Calibri"/>
      <family val="2"/>
    </font>
    <font>
      <b/>
      <sz val="11"/>
      <color indexed="57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20"/>
      <name val="Arial"/>
      <family val="2"/>
    </font>
    <font>
      <i/>
      <sz val="14"/>
      <name val="Arial"/>
      <family val="2"/>
    </font>
    <font>
      <i/>
      <sz val="8"/>
      <name val="Arial"/>
      <family val="2"/>
    </font>
    <font>
      <sz val="12"/>
      <color indexed="8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i/>
      <sz val="10"/>
      <color rgb="FFFF0000"/>
      <name val="Arial"/>
      <family val="2"/>
    </font>
    <font>
      <sz val="11"/>
      <color rgb="FFFF0000"/>
      <name val="Arial"/>
      <family val="2"/>
    </font>
    <font>
      <sz val="9"/>
      <color rgb="FFFF0000"/>
      <name val="Arial"/>
      <family val="2"/>
    </font>
    <font>
      <i/>
      <sz val="9"/>
      <color rgb="FFFF0000"/>
      <name val="Arial"/>
      <family val="2"/>
    </font>
    <font>
      <b/>
      <sz val="20"/>
      <color rgb="FFFF0000"/>
      <name val="Arial"/>
      <family val="2"/>
    </font>
    <font>
      <b/>
      <sz val="14"/>
      <color rgb="FFFF0000"/>
      <name val="Arial"/>
      <family val="2"/>
    </font>
    <font>
      <b/>
      <sz val="8"/>
      <name val="Arial"/>
      <family val="2"/>
    </font>
    <font>
      <sz val="6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</patternFill>
    </fill>
    <fill>
      <patternFill patternType="solid">
        <fgColor indexed="10"/>
      </patternFill>
    </fill>
    <fill>
      <patternFill patternType="solid">
        <fgColor indexed="9"/>
      </patternFill>
    </fill>
    <fill>
      <patternFill patternType="solid">
        <fgColor indexed="45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rgb="FFFF990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74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23" fillId="0" borderId="0"/>
    <xf numFmtId="164" fontId="2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23" fillId="0" borderId="0"/>
    <xf numFmtId="0" fontId="3" fillId="0" borderId="0"/>
    <xf numFmtId="0" fontId="3" fillId="0" borderId="0"/>
    <xf numFmtId="0" fontId="34" fillId="0" borderId="0"/>
    <xf numFmtId="0" fontId="3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23" fillId="0" borderId="0" applyFont="0" applyFill="0" applyBorder="0" applyAlignment="0" applyProtection="0"/>
    <xf numFmtId="171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173" fontId="37" fillId="0" borderId="0" applyFill="0" applyBorder="0" applyAlignment="0"/>
    <xf numFmtId="174" fontId="37" fillId="0" borderId="0" applyFill="0" applyBorder="0" applyAlignment="0"/>
    <xf numFmtId="165" fontId="38" fillId="0" borderId="0" applyFill="0" applyBorder="0" applyAlignment="0"/>
    <xf numFmtId="175" fontId="37" fillId="0" borderId="0" applyFill="0" applyBorder="0" applyAlignment="0"/>
    <xf numFmtId="176" fontId="37" fillId="0" borderId="0" applyFill="0" applyBorder="0" applyAlignment="0"/>
    <xf numFmtId="173" fontId="37" fillId="0" borderId="0" applyFill="0" applyBorder="0" applyAlignment="0"/>
    <xf numFmtId="177" fontId="37" fillId="0" borderId="0" applyFill="0" applyBorder="0" applyAlignment="0"/>
    <xf numFmtId="174" fontId="37" fillId="0" borderId="0" applyFill="0" applyBorder="0" applyAlignment="0"/>
    <xf numFmtId="0" fontId="39" fillId="15" borderId="16" applyNumberFormat="0" applyAlignment="0" applyProtection="0"/>
    <xf numFmtId="0" fontId="39" fillId="15" borderId="16" applyNumberFormat="0" applyAlignment="0" applyProtection="0"/>
    <xf numFmtId="0" fontId="39" fillId="15" borderId="16" applyNumberFormat="0" applyAlignment="0" applyProtection="0"/>
    <xf numFmtId="0" fontId="39" fillId="15" borderId="16" applyNumberFormat="0" applyAlignment="0" applyProtection="0"/>
    <xf numFmtId="0" fontId="39" fillId="15" borderId="16" applyNumberFormat="0" applyAlignment="0" applyProtection="0"/>
    <xf numFmtId="0" fontId="39" fillId="15" borderId="16" applyNumberFormat="0" applyAlignment="0" applyProtection="0"/>
    <xf numFmtId="0" fontId="39" fillId="15" borderId="16" applyNumberFormat="0" applyAlignment="0" applyProtection="0"/>
    <xf numFmtId="0" fontId="39" fillId="15" borderId="16" applyNumberFormat="0" applyAlignment="0" applyProtection="0"/>
    <xf numFmtId="0" fontId="39" fillId="15" borderId="16" applyNumberFormat="0" applyAlignment="0" applyProtection="0"/>
    <xf numFmtId="0" fontId="39" fillId="15" borderId="16" applyNumberFormat="0" applyAlignment="0" applyProtection="0"/>
    <xf numFmtId="0" fontId="39" fillId="15" borderId="16" applyNumberFormat="0" applyAlignment="0" applyProtection="0"/>
    <xf numFmtId="0" fontId="39" fillId="15" borderId="16" applyNumberFormat="0" applyAlignment="0" applyProtection="0"/>
    <xf numFmtId="0" fontId="39" fillId="15" borderId="16" applyNumberFormat="0" applyAlignment="0" applyProtection="0"/>
    <xf numFmtId="0" fontId="39" fillId="15" borderId="16" applyNumberFormat="0" applyAlignment="0" applyProtection="0"/>
    <xf numFmtId="0" fontId="39" fillId="15" borderId="16" applyNumberFormat="0" applyAlignment="0" applyProtection="0"/>
    <xf numFmtId="0" fontId="39" fillId="15" borderId="16" applyNumberFormat="0" applyAlignment="0" applyProtection="0"/>
    <xf numFmtId="0" fontId="39" fillId="15" borderId="16" applyNumberFormat="0" applyAlignment="0" applyProtection="0"/>
    <xf numFmtId="0" fontId="39" fillId="15" borderId="16" applyNumberFormat="0" applyAlignment="0" applyProtection="0"/>
    <xf numFmtId="0" fontId="39" fillId="15" borderId="16" applyNumberFormat="0" applyAlignment="0" applyProtection="0"/>
    <xf numFmtId="0" fontId="39" fillId="15" borderId="16" applyNumberFormat="0" applyAlignment="0" applyProtection="0"/>
    <xf numFmtId="0" fontId="39" fillId="15" borderId="16" applyNumberFormat="0" applyAlignment="0" applyProtection="0"/>
    <xf numFmtId="0" fontId="39" fillId="15" borderId="16" applyNumberFormat="0" applyAlignment="0" applyProtection="0"/>
    <xf numFmtId="0" fontId="39" fillId="15" borderId="16" applyNumberFormat="0" applyAlignment="0" applyProtection="0"/>
    <xf numFmtId="0" fontId="39" fillId="15" borderId="16" applyNumberFormat="0" applyAlignment="0" applyProtection="0"/>
    <xf numFmtId="0" fontId="39" fillId="15" borderId="16" applyNumberFormat="0" applyAlignment="0" applyProtection="0"/>
    <xf numFmtId="0" fontId="39" fillId="15" borderId="16" applyNumberFormat="0" applyAlignment="0" applyProtection="0"/>
    <xf numFmtId="0" fontId="39" fillId="15" borderId="16" applyNumberFormat="0" applyAlignment="0" applyProtection="0"/>
    <xf numFmtId="0" fontId="39" fillId="15" borderId="16" applyNumberFormat="0" applyAlignment="0" applyProtection="0"/>
    <xf numFmtId="0" fontId="39" fillId="15" borderId="16" applyNumberFormat="0" applyAlignment="0" applyProtection="0"/>
    <xf numFmtId="0" fontId="39" fillId="15" borderId="16" applyNumberFormat="0" applyAlignment="0" applyProtection="0"/>
    <xf numFmtId="0" fontId="39" fillId="15" borderId="16" applyNumberFormat="0" applyAlignment="0" applyProtection="0"/>
    <xf numFmtId="0" fontId="39" fillId="15" borderId="16" applyNumberFormat="0" applyAlignment="0" applyProtection="0"/>
    <xf numFmtId="0" fontId="39" fillId="15" borderId="16" applyNumberFormat="0" applyAlignment="0" applyProtection="0"/>
    <xf numFmtId="0" fontId="39" fillId="15" borderId="16" applyNumberFormat="0" applyAlignment="0" applyProtection="0"/>
    <xf numFmtId="0" fontId="39" fillId="15" borderId="16" applyNumberFormat="0" applyAlignment="0" applyProtection="0"/>
    <xf numFmtId="0" fontId="39" fillId="15" borderId="16" applyNumberFormat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78" fontId="3" fillId="0" borderId="0" applyFont="0" applyFill="0" applyBorder="0" applyAlignment="0" applyProtection="0"/>
    <xf numFmtId="173" fontId="37" fillId="0" borderId="0" applyFont="0" applyFill="0" applyBorder="0" applyAlignment="0" applyProtection="0"/>
    <xf numFmtId="179" fontId="3" fillId="0" borderId="0" applyFont="0" applyFill="0" applyBorder="0" applyAlignment="0" applyProtection="0"/>
    <xf numFmtId="0" fontId="34" fillId="6" borderId="18" applyNumberFormat="0" applyFont="0" applyAlignment="0" applyProtection="0"/>
    <xf numFmtId="0" fontId="34" fillId="6" borderId="18" applyNumberFormat="0" applyFont="0" applyAlignment="0" applyProtection="0"/>
    <xf numFmtId="0" fontId="34" fillId="6" borderId="18" applyNumberFormat="0" applyFont="0" applyAlignment="0" applyProtection="0"/>
    <xf numFmtId="0" fontId="34" fillId="6" borderId="18" applyNumberFormat="0" applyFont="0" applyAlignment="0" applyProtection="0"/>
    <xf numFmtId="0" fontId="34" fillId="6" borderId="18" applyNumberFormat="0" applyFont="0" applyAlignment="0" applyProtection="0"/>
    <xf numFmtId="0" fontId="34" fillId="6" borderId="18" applyNumberFormat="0" applyFont="0" applyAlignment="0" applyProtection="0"/>
    <xf numFmtId="0" fontId="34" fillId="6" borderId="18" applyNumberFormat="0" applyFont="0" applyAlignment="0" applyProtection="0"/>
    <xf numFmtId="0" fontId="34" fillId="6" borderId="18" applyNumberFormat="0" applyFont="0" applyAlignment="0" applyProtection="0"/>
    <xf numFmtId="0" fontId="34" fillId="6" borderId="18" applyNumberFormat="0" applyFont="0" applyAlignment="0" applyProtection="0"/>
    <xf numFmtId="0" fontId="34" fillId="6" borderId="18" applyNumberFormat="0" applyFont="0" applyAlignment="0" applyProtection="0"/>
    <xf numFmtId="0" fontId="34" fillId="6" borderId="18" applyNumberFormat="0" applyFont="0" applyAlignment="0" applyProtection="0"/>
    <xf numFmtId="0" fontId="34" fillId="6" borderId="18" applyNumberFormat="0" applyFont="0" applyAlignment="0" applyProtection="0"/>
    <xf numFmtId="0" fontId="34" fillId="6" borderId="18" applyNumberFormat="0" applyFont="0" applyAlignment="0" applyProtection="0"/>
    <xf numFmtId="0" fontId="34" fillId="6" borderId="18" applyNumberFormat="0" applyFont="0" applyAlignment="0" applyProtection="0"/>
    <xf numFmtId="0" fontId="34" fillId="6" borderId="18" applyNumberFormat="0" applyFont="0" applyAlignment="0" applyProtection="0"/>
    <xf numFmtId="0" fontId="34" fillId="6" borderId="18" applyNumberFormat="0" applyFont="0" applyAlignment="0" applyProtection="0"/>
    <xf numFmtId="0" fontId="34" fillId="6" borderId="18" applyNumberFormat="0" applyFont="0" applyAlignment="0" applyProtection="0"/>
    <xf numFmtId="0" fontId="34" fillId="6" borderId="18" applyNumberFormat="0" applyFont="0" applyAlignment="0" applyProtection="0"/>
    <xf numFmtId="0" fontId="34" fillId="6" borderId="18" applyNumberFormat="0" applyFont="0" applyAlignment="0" applyProtection="0"/>
    <xf numFmtId="0" fontId="34" fillId="6" borderId="18" applyNumberFormat="0" applyFont="0" applyAlignment="0" applyProtection="0"/>
    <xf numFmtId="0" fontId="34" fillId="6" borderId="18" applyNumberFormat="0" applyFont="0" applyAlignment="0" applyProtection="0"/>
    <xf numFmtId="0" fontId="34" fillId="6" borderId="18" applyNumberFormat="0" applyFont="0" applyAlignment="0" applyProtection="0"/>
    <xf numFmtId="0" fontId="34" fillId="6" borderId="18" applyNumberFormat="0" applyFont="0" applyAlignment="0" applyProtection="0"/>
    <xf numFmtId="0" fontId="34" fillId="6" borderId="18" applyNumberFormat="0" applyFont="0" applyAlignment="0" applyProtection="0"/>
    <xf numFmtId="0" fontId="34" fillId="6" borderId="18" applyNumberFormat="0" applyFont="0" applyAlignment="0" applyProtection="0"/>
    <xf numFmtId="0" fontId="34" fillId="6" borderId="18" applyNumberFormat="0" applyFont="0" applyAlignment="0" applyProtection="0"/>
    <xf numFmtId="0" fontId="34" fillId="6" borderId="18" applyNumberFormat="0" applyFont="0" applyAlignment="0" applyProtection="0"/>
    <xf numFmtId="0" fontId="34" fillId="6" borderId="18" applyNumberFormat="0" applyFont="0" applyAlignment="0" applyProtection="0"/>
    <xf numFmtId="0" fontId="34" fillId="6" borderId="18" applyNumberFormat="0" applyFont="0" applyAlignment="0" applyProtection="0"/>
    <xf numFmtId="0" fontId="34" fillId="6" borderId="18" applyNumberFormat="0" applyFont="0" applyAlignment="0" applyProtection="0"/>
    <xf numFmtId="0" fontId="34" fillId="6" borderId="18" applyNumberFormat="0" applyFont="0" applyAlignment="0" applyProtection="0"/>
    <xf numFmtId="0" fontId="34" fillId="6" borderId="18" applyNumberFormat="0" applyFont="0" applyAlignment="0" applyProtection="0"/>
    <xf numFmtId="0" fontId="34" fillId="6" borderId="18" applyNumberFormat="0" applyFont="0" applyAlignment="0" applyProtection="0"/>
    <xf numFmtId="0" fontId="34" fillId="6" borderId="18" applyNumberFormat="0" applyFont="0" applyAlignment="0" applyProtection="0"/>
    <xf numFmtId="0" fontId="34" fillId="6" borderId="18" applyNumberFormat="0" applyFont="0" applyAlignment="0" applyProtection="0"/>
    <xf numFmtId="0" fontId="34" fillId="6" borderId="18" applyNumberFormat="0" applyFont="0" applyAlignment="0" applyProtection="0"/>
    <xf numFmtId="180" fontId="3" fillId="0" borderId="0" applyFont="0" applyFill="0" applyBorder="0" applyAlignment="0" applyProtection="0"/>
    <xf numFmtId="174" fontId="37" fillId="0" borderId="0" applyFont="0" applyFill="0" applyBorder="0" applyAlignment="0" applyProtection="0"/>
    <xf numFmtId="181" fontId="3" fillId="0" borderId="0" applyFont="0" applyFill="0" applyBorder="0" applyAlignment="0" applyProtection="0"/>
    <xf numFmtId="14" fontId="40" fillId="0" borderId="0" applyFill="0" applyBorder="0" applyAlignment="0"/>
    <xf numFmtId="38" fontId="41" fillId="0" borderId="19">
      <alignment vertical="center"/>
    </xf>
    <xf numFmtId="173" fontId="37" fillId="0" borderId="0" applyFill="0" applyBorder="0" applyAlignment="0"/>
    <xf numFmtId="174" fontId="37" fillId="0" borderId="0" applyFill="0" applyBorder="0" applyAlignment="0"/>
    <xf numFmtId="173" fontId="37" fillId="0" borderId="0" applyFill="0" applyBorder="0" applyAlignment="0"/>
    <xf numFmtId="177" fontId="37" fillId="0" borderId="0" applyFill="0" applyBorder="0" applyAlignment="0"/>
    <xf numFmtId="174" fontId="37" fillId="0" borderId="0" applyFill="0" applyBorder="0" applyAlignment="0"/>
    <xf numFmtId="0" fontId="42" fillId="5" borderId="16" applyNumberFormat="0" applyAlignment="0" applyProtection="0"/>
    <xf numFmtId="0" fontId="42" fillId="5" borderId="16" applyNumberFormat="0" applyAlignment="0" applyProtection="0"/>
    <xf numFmtId="0" fontId="42" fillId="5" borderId="16" applyNumberFormat="0" applyAlignment="0" applyProtection="0"/>
    <xf numFmtId="0" fontId="42" fillId="5" borderId="16" applyNumberFormat="0" applyAlignment="0" applyProtection="0"/>
    <xf numFmtId="0" fontId="42" fillId="5" borderId="16" applyNumberFormat="0" applyAlignment="0" applyProtection="0"/>
    <xf numFmtId="0" fontId="42" fillId="5" borderId="16" applyNumberFormat="0" applyAlignment="0" applyProtection="0"/>
    <xf numFmtId="0" fontId="42" fillId="5" borderId="16" applyNumberFormat="0" applyAlignment="0" applyProtection="0"/>
    <xf numFmtId="0" fontId="42" fillId="5" borderId="16" applyNumberFormat="0" applyAlignment="0" applyProtection="0"/>
    <xf numFmtId="0" fontId="42" fillId="5" borderId="16" applyNumberFormat="0" applyAlignment="0" applyProtection="0"/>
    <xf numFmtId="0" fontId="42" fillId="5" borderId="16" applyNumberFormat="0" applyAlignment="0" applyProtection="0"/>
    <xf numFmtId="0" fontId="42" fillId="5" borderId="16" applyNumberFormat="0" applyAlignment="0" applyProtection="0"/>
    <xf numFmtId="0" fontId="42" fillId="5" borderId="16" applyNumberFormat="0" applyAlignment="0" applyProtection="0"/>
    <xf numFmtId="0" fontId="42" fillId="5" borderId="16" applyNumberFormat="0" applyAlignment="0" applyProtection="0"/>
    <xf numFmtId="0" fontId="42" fillId="5" borderId="16" applyNumberFormat="0" applyAlignment="0" applyProtection="0"/>
    <xf numFmtId="0" fontId="42" fillId="5" borderId="16" applyNumberFormat="0" applyAlignment="0" applyProtection="0"/>
    <xf numFmtId="0" fontId="42" fillId="5" borderId="16" applyNumberFormat="0" applyAlignment="0" applyProtection="0"/>
    <xf numFmtId="0" fontId="42" fillId="5" borderId="16" applyNumberFormat="0" applyAlignment="0" applyProtection="0"/>
    <xf numFmtId="0" fontId="42" fillId="5" borderId="16" applyNumberFormat="0" applyAlignment="0" applyProtection="0"/>
    <xf numFmtId="0" fontId="42" fillId="5" borderId="16" applyNumberFormat="0" applyAlignment="0" applyProtection="0"/>
    <xf numFmtId="0" fontId="42" fillId="5" borderId="16" applyNumberFormat="0" applyAlignment="0" applyProtection="0"/>
    <xf numFmtId="0" fontId="42" fillId="5" borderId="16" applyNumberFormat="0" applyAlignment="0" applyProtection="0"/>
    <xf numFmtId="0" fontId="42" fillId="5" borderId="16" applyNumberFormat="0" applyAlignment="0" applyProtection="0"/>
    <xf numFmtId="0" fontId="42" fillId="5" borderId="16" applyNumberFormat="0" applyAlignment="0" applyProtection="0"/>
    <xf numFmtId="0" fontId="42" fillId="5" borderId="16" applyNumberFormat="0" applyAlignment="0" applyProtection="0"/>
    <xf numFmtId="0" fontId="42" fillId="5" borderId="16" applyNumberFormat="0" applyAlignment="0" applyProtection="0"/>
    <xf numFmtId="0" fontId="42" fillId="5" borderId="16" applyNumberFormat="0" applyAlignment="0" applyProtection="0"/>
    <xf numFmtId="0" fontId="42" fillId="5" borderId="16" applyNumberFormat="0" applyAlignment="0" applyProtection="0"/>
    <xf numFmtId="0" fontId="42" fillId="5" borderId="16" applyNumberFormat="0" applyAlignment="0" applyProtection="0"/>
    <xf numFmtId="0" fontId="42" fillId="5" borderId="16" applyNumberFormat="0" applyAlignment="0" applyProtection="0"/>
    <xf numFmtId="0" fontId="42" fillId="5" borderId="16" applyNumberFormat="0" applyAlignment="0" applyProtection="0"/>
    <xf numFmtId="0" fontId="42" fillId="5" borderId="16" applyNumberFormat="0" applyAlignment="0" applyProtection="0"/>
    <xf numFmtId="0" fontId="42" fillId="5" borderId="16" applyNumberFormat="0" applyAlignment="0" applyProtection="0"/>
    <xf numFmtId="0" fontId="42" fillId="5" borderId="16" applyNumberFormat="0" applyAlignment="0" applyProtection="0"/>
    <xf numFmtId="0" fontId="42" fillId="5" borderId="16" applyNumberFormat="0" applyAlignment="0" applyProtection="0"/>
    <xf numFmtId="0" fontId="42" fillId="5" borderId="16" applyNumberFormat="0" applyAlignment="0" applyProtection="0"/>
    <xf numFmtId="0" fontId="42" fillId="5" borderId="16" applyNumberFormat="0" applyAlignment="0" applyProtection="0"/>
    <xf numFmtId="18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43" fillId="0" borderId="0"/>
    <xf numFmtId="0" fontId="11" fillId="0" borderId="20" applyNumberFormat="0" applyAlignment="0" applyProtection="0">
      <alignment horizontal="left" vertical="center"/>
    </xf>
    <xf numFmtId="0" fontId="11" fillId="0" borderId="20" applyNumberFormat="0" applyAlignment="0" applyProtection="0">
      <alignment horizontal="left" vertical="center"/>
    </xf>
    <xf numFmtId="0" fontId="11" fillId="0" borderId="7">
      <alignment horizontal="left" vertical="center"/>
    </xf>
    <xf numFmtId="0" fontId="11" fillId="0" borderId="7">
      <alignment horizontal="left" vertical="center"/>
    </xf>
    <xf numFmtId="0" fontId="44" fillId="16" borderId="0" applyNumberFormat="0" applyBorder="0" applyAlignment="0" applyProtection="0"/>
    <xf numFmtId="0" fontId="44" fillId="16" borderId="0" applyNumberFormat="0" applyBorder="0" applyAlignment="0" applyProtection="0"/>
    <xf numFmtId="0" fontId="44" fillId="16" borderId="0" applyNumberFormat="0" applyBorder="0" applyAlignment="0" applyProtection="0"/>
    <xf numFmtId="0" fontId="44" fillId="16" borderId="0" applyNumberFormat="0" applyBorder="0" applyAlignment="0" applyProtection="0"/>
    <xf numFmtId="0" fontId="44" fillId="16" borderId="0" applyNumberFormat="0" applyBorder="0" applyAlignment="0" applyProtection="0"/>
    <xf numFmtId="0" fontId="44" fillId="16" borderId="0" applyNumberFormat="0" applyBorder="0" applyAlignment="0" applyProtection="0"/>
    <xf numFmtId="0" fontId="44" fillId="16" borderId="0" applyNumberFormat="0" applyBorder="0" applyAlignment="0" applyProtection="0"/>
    <xf numFmtId="0" fontId="44" fillId="16" borderId="0" applyNumberFormat="0" applyBorder="0" applyAlignment="0" applyProtection="0"/>
    <xf numFmtId="0" fontId="44" fillId="16" borderId="0" applyNumberFormat="0" applyBorder="0" applyAlignment="0" applyProtection="0"/>
    <xf numFmtId="0" fontId="44" fillId="16" borderId="0" applyNumberFormat="0" applyBorder="0" applyAlignment="0" applyProtection="0"/>
    <xf numFmtId="0" fontId="44" fillId="16" borderId="0" applyNumberFormat="0" applyBorder="0" applyAlignment="0" applyProtection="0"/>
    <xf numFmtId="0" fontId="44" fillId="16" borderId="0" applyNumberFormat="0" applyBorder="0" applyAlignment="0" applyProtection="0"/>
    <xf numFmtId="0" fontId="44" fillId="16" borderId="0" applyNumberFormat="0" applyBorder="0" applyAlignment="0" applyProtection="0"/>
    <xf numFmtId="0" fontId="44" fillId="16" borderId="0" applyNumberFormat="0" applyBorder="0" applyAlignment="0" applyProtection="0"/>
    <xf numFmtId="0" fontId="44" fillId="16" borderId="0" applyNumberFormat="0" applyBorder="0" applyAlignment="0" applyProtection="0"/>
    <xf numFmtId="0" fontId="44" fillId="16" borderId="0" applyNumberFormat="0" applyBorder="0" applyAlignment="0" applyProtection="0"/>
    <xf numFmtId="0" fontId="44" fillId="16" borderId="0" applyNumberFormat="0" applyBorder="0" applyAlignment="0" applyProtection="0"/>
    <xf numFmtId="0" fontId="44" fillId="16" borderId="0" applyNumberFormat="0" applyBorder="0" applyAlignment="0" applyProtection="0"/>
    <xf numFmtId="0" fontId="44" fillId="16" borderId="0" applyNumberFormat="0" applyBorder="0" applyAlignment="0" applyProtection="0"/>
    <xf numFmtId="0" fontId="44" fillId="16" borderId="0" applyNumberFormat="0" applyBorder="0" applyAlignment="0" applyProtection="0"/>
    <xf numFmtId="0" fontId="44" fillId="16" borderId="0" applyNumberFormat="0" applyBorder="0" applyAlignment="0" applyProtection="0"/>
    <xf numFmtId="0" fontId="44" fillId="16" borderId="0" applyNumberFormat="0" applyBorder="0" applyAlignment="0" applyProtection="0"/>
    <xf numFmtId="0" fontId="44" fillId="16" borderId="0" applyNumberFormat="0" applyBorder="0" applyAlignment="0" applyProtection="0"/>
    <xf numFmtId="0" fontId="44" fillId="16" borderId="0" applyNumberFormat="0" applyBorder="0" applyAlignment="0" applyProtection="0"/>
    <xf numFmtId="0" fontId="44" fillId="16" borderId="0" applyNumberFormat="0" applyBorder="0" applyAlignment="0" applyProtection="0"/>
    <xf numFmtId="0" fontId="44" fillId="16" borderId="0" applyNumberFormat="0" applyBorder="0" applyAlignment="0" applyProtection="0"/>
    <xf numFmtId="0" fontId="44" fillId="16" borderId="0" applyNumberFormat="0" applyBorder="0" applyAlignment="0" applyProtection="0"/>
    <xf numFmtId="0" fontId="44" fillId="16" borderId="0" applyNumberFormat="0" applyBorder="0" applyAlignment="0" applyProtection="0"/>
    <xf numFmtId="0" fontId="44" fillId="16" borderId="0" applyNumberFormat="0" applyBorder="0" applyAlignment="0" applyProtection="0"/>
    <xf numFmtId="0" fontId="44" fillId="16" borderId="0" applyNumberFormat="0" applyBorder="0" applyAlignment="0" applyProtection="0"/>
    <xf numFmtId="0" fontId="44" fillId="16" borderId="0" applyNumberFormat="0" applyBorder="0" applyAlignment="0" applyProtection="0"/>
    <xf numFmtId="0" fontId="44" fillId="16" borderId="0" applyNumberFormat="0" applyBorder="0" applyAlignment="0" applyProtection="0"/>
    <xf numFmtId="0" fontId="44" fillId="16" borderId="0" applyNumberFormat="0" applyBorder="0" applyAlignment="0" applyProtection="0"/>
    <xf numFmtId="0" fontId="44" fillId="16" borderId="0" applyNumberFormat="0" applyBorder="0" applyAlignment="0" applyProtection="0"/>
    <xf numFmtId="0" fontId="44" fillId="16" borderId="0" applyNumberFormat="0" applyBorder="0" applyAlignment="0" applyProtection="0"/>
    <xf numFmtId="0" fontId="44" fillId="16" borderId="0" applyNumberFormat="0" applyBorder="0" applyAlignment="0" applyProtection="0"/>
    <xf numFmtId="173" fontId="37" fillId="0" borderId="0" applyFill="0" applyBorder="0" applyAlignment="0"/>
    <xf numFmtId="174" fontId="37" fillId="0" borderId="0" applyFill="0" applyBorder="0" applyAlignment="0"/>
    <xf numFmtId="173" fontId="37" fillId="0" borderId="0" applyFill="0" applyBorder="0" applyAlignment="0"/>
    <xf numFmtId="177" fontId="37" fillId="0" borderId="0" applyFill="0" applyBorder="0" applyAlignment="0"/>
    <xf numFmtId="174" fontId="37" fillId="0" borderId="0" applyFill="0" applyBorder="0" applyAlignment="0"/>
    <xf numFmtId="179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79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45" fillId="17" borderId="0" applyNumberFormat="0" applyBorder="0" applyAlignment="0" applyProtection="0"/>
    <xf numFmtId="0" fontId="45" fillId="17" borderId="0" applyNumberFormat="0" applyBorder="0" applyAlignment="0" applyProtection="0"/>
    <xf numFmtId="0" fontId="45" fillId="17" borderId="0" applyNumberFormat="0" applyBorder="0" applyAlignment="0" applyProtection="0"/>
    <xf numFmtId="0" fontId="45" fillId="17" borderId="0" applyNumberFormat="0" applyBorder="0" applyAlignment="0" applyProtection="0"/>
    <xf numFmtId="0" fontId="45" fillId="17" borderId="0" applyNumberFormat="0" applyBorder="0" applyAlignment="0" applyProtection="0"/>
    <xf numFmtId="0" fontId="45" fillId="17" borderId="0" applyNumberFormat="0" applyBorder="0" applyAlignment="0" applyProtection="0"/>
    <xf numFmtId="0" fontId="45" fillId="17" borderId="0" applyNumberFormat="0" applyBorder="0" applyAlignment="0" applyProtection="0"/>
    <xf numFmtId="0" fontId="45" fillId="17" borderId="0" applyNumberFormat="0" applyBorder="0" applyAlignment="0" applyProtection="0"/>
    <xf numFmtId="0" fontId="45" fillId="17" borderId="0" applyNumberFormat="0" applyBorder="0" applyAlignment="0" applyProtection="0"/>
    <xf numFmtId="0" fontId="45" fillId="17" borderId="0" applyNumberFormat="0" applyBorder="0" applyAlignment="0" applyProtection="0"/>
    <xf numFmtId="0" fontId="45" fillId="17" borderId="0" applyNumberFormat="0" applyBorder="0" applyAlignment="0" applyProtection="0"/>
    <xf numFmtId="0" fontId="45" fillId="17" borderId="0" applyNumberFormat="0" applyBorder="0" applyAlignment="0" applyProtection="0"/>
    <xf numFmtId="0" fontId="45" fillId="17" borderId="0" applyNumberFormat="0" applyBorder="0" applyAlignment="0" applyProtection="0"/>
    <xf numFmtId="0" fontId="45" fillId="17" borderId="0" applyNumberFormat="0" applyBorder="0" applyAlignment="0" applyProtection="0"/>
    <xf numFmtId="0" fontId="45" fillId="17" borderId="0" applyNumberFormat="0" applyBorder="0" applyAlignment="0" applyProtection="0"/>
    <xf numFmtId="0" fontId="45" fillId="17" borderId="0" applyNumberFormat="0" applyBorder="0" applyAlignment="0" applyProtection="0"/>
    <xf numFmtId="0" fontId="45" fillId="17" borderId="0" applyNumberFormat="0" applyBorder="0" applyAlignment="0" applyProtection="0"/>
    <xf numFmtId="0" fontId="45" fillId="17" borderId="0" applyNumberFormat="0" applyBorder="0" applyAlignment="0" applyProtection="0"/>
    <xf numFmtId="0" fontId="45" fillId="17" borderId="0" applyNumberFormat="0" applyBorder="0" applyAlignment="0" applyProtection="0"/>
    <xf numFmtId="0" fontId="45" fillId="17" borderId="0" applyNumberFormat="0" applyBorder="0" applyAlignment="0" applyProtection="0"/>
    <xf numFmtId="0" fontId="45" fillId="17" borderId="0" applyNumberFormat="0" applyBorder="0" applyAlignment="0" applyProtection="0"/>
    <xf numFmtId="0" fontId="45" fillId="17" borderId="0" applyNumberFormat="0" applyBorder="0" applyAlignment="0" applyProtection="0"/>
    <xf numFmtId="0" fontId="45" fillId="17" borderId="0" applyNumberFormat="0" applyBorder="0" applyAlignment="0" applyProtection="0"/>
    <xf numFmtId="0" fontId="45" fillId="17" borderId="0" applyNumberFormat="0" applyBorder="0" applyAlignment="0" applyProtection="0"/>
    <xf numFmtId="0" fontId="45" fillId="17" borderId="0" applyNumberFormat="0" applyBorder="0" applyAlignment="0" applyProtection="0"/>
    <xf numFmtId="0" fontId="45" fillId="17" borderId="0" applyNumberFormat="0" applyBorder="0" applyAlignment="0" applyProtection="0"/>
    <xf numFmtId="0" fontId="45" fillId="17" borderId="0" applyNumberFormat="0" applyBorder="0" applyAlignment="0" applyProtection="0"/>
    <xf numFmtId="0" fontId="45" fillId="17" borderId="0" applyNumberFormat="0" applyBorder="0" applyAlignment="0" applyProtection="0"/>
    <xf numFmtId="0" fontId="45" fillId="17" borderId="0" applyNumberFormat="0" applyBorder="0" applyAlignment="0" applyProtection="0"/>
    <xf numFmtId="0" fontId="45" fillId="17" borderId="0" applyNumberFormat="0" applyBorder="0" applyAlignment="0" applyProtection="0"/>
    <xf numFmtId="0" fontId="45" fillId="17" borderId="0" applyNumberFormat="0" applyBorder="0" applyAlignment="0" applyProtection="0"/>
    <xf numFmtId="0" fontId="45" fillId="17" borderId="0" applyNumberFormat="0" applyBorder="0" applyAlignment="0" applyProtection="0"/>
    <xf numFmtId="0" fontId="45" fillId="17" borderId="0" applyNumberFormat="0" applyBorder="0" applyAlignment="0" applyProtection="0"/>
    <xf numFmtId="0" fontId="45" fillId="17" borderId="0" applyNumberFormat="0" applyBorder="0" applyAlignment="0" applyProtection="0"/>
    <xf numFmtId="0" fontId="45" fillId="17" borderId="0" applyNumberFormat="0" applyBorder="0" applyAlignment="0" applyProtection="0"/>
    <xf numFmtId="0" fontId="45" fillId="17" borderId="0" applyNumberFormat="0" applyBorder="0" applyAlignment="0" applyProtection="0"/>
    <xf numFmtId="0" fontId="37" fillId="0" borderId="0"/>
    <xf numFmtId="0" fontId="3" fillId="0" borderId="0"/>
    <xf numFmtId="184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176" fontId="37" fillId="0" borderId="0" applyFont="0" applyFill="0" applyBorder="0" applyAlignment="0" applyProtection="0"/>
    <xf numFmtId="185" fontId="37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3" fontId="37" fillId="0" borderId="0" applyFill="0" applyBorder="0" applyAlignment="0"/>
    <xf numFmtId="174" fontId="37" fillId="0" borderId="0" applyFill="0" applyBorder="0" applyAlignment="0"/>
    <xf numFmtId="173" fontId="37" fillId="0" borderId="0" applyFill="0" applyBorder="0" applyAlignment="0"/>
    <xf numFmtId="177" fontId="37" fillId="0" borderId="0" applyFill="0" applyBorder="0" applyAlignment="0"/>
    <xf numFmtId="174" fontId="37" fillId="0" borderId="0" applyFill="0" applyBorder="0" applyAlignment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3" fillId="0" borderId="21"/>
    <xf numFmtId="186" fontId="37" fillId="0" borderId="0" applyFont="0" applyFill="0" applyBorder="0" applyAlignment="0" applyProtection="0"/>
    <xf numFmtId="0" fontId="47" fillId="15" borderId="22" applyNumberFormat="0" applyAlignment="0" applyProtection="0"/>
    <xf numFmtId="0" fontId="47" fillId="15" borderId="22" applyNumberFormat="0" applyAlignment="0" applyProtection="0"/>
    <xf numFmtId="0" fontId="47" fillId="15" borderId="22" applyNumberFormat="0" applyAlignment="0" applyProtection="0"/>
    <xf numFmtId="0" fontId="47" fillId="15" borderId="22" applyNumberFormat="0" applyAlignment="0" applyProtection="0"/>
    <xf numFmtId="0" fontId="47" fillId="15" borderId="22" applyNumberFormat="0" applyAlignment="0" applyProtection="0"/>
    <xf numFmtId="0" fontId="47" fillId="15" borderId="22" applyNumberFormat="0" applyAlignment="0" applyProtection="0"/>
    <xf numFmtId="0" fontId="47" fillId="15" borderId="22" applyNumberFormat="0" applyAlignment="0" applyProtection="0"/>
    <xf numFmtId="0" fontId="47" fillId="15" borderId="22" applyNumberFormat="0" applyAlignment="0" applyProtection="0"/>
    <xf numFmtId="0" fontId="47" fillId="15" borderId="22" applyNumberFormat="0" applyAlignment="0" applyProtection="0"/>
    <xf numFmtId="0" fontId="47" fillId="15" borderId="22" applyNumberFormat="0" applyAlignment="0" applyProtection="0"/>
    <xf numFmtId="0" fontId="47" fillId="15" borderId="22" applyNumberFormat="0" applyAlignment="0" applyProtection="0"/>
    <xf numFmtId="0" fontId="47" fillId="15" borderId="22" applyNumberFormat="0" applyAlignment="0" applyProtection="0"/>
    <xf numFmtId="0" fontId="47" fillId="15" borderId="22" applyNumberFormat="0" applyAlignment="0" applyProtection="0"/>
    <xf numFmtId="0" fontId="47" fillId="15" borderId="22" applyNumberFormat="0" applyAlignment="0" applyProtection="0"/>
    <xf numFmtId="0" fontId="47" fillId="15" borderId="22" applyNumberFormat="0" applyAlignment="0" applyProtection="0"/>
    <xf numFmtId="0" fontId="47" fillId="15" borderId="22" applyNumberFormat="0" applyAlignment="0" applyProtection="0"/>
    <xf numFmtId="0" fontId="47" fillId="15" borderId="22" applyNumberFormat="0" applyAlignment="0" applyProtection="0"/>
    <xf numFmtId="0" fontId="47" fillId="15" borderId="22" applyNumberFormat="0" applyAlignment="0" applyProtection="0"/>
    <xf numFmtId="0" fontId="47" fillId="15" borderId="22" applyNumberFormat="0" applyAlignment="0" applyProtection="0"/>
    <xf numFmtId="0" fontId="47" fillId="15" borderId="22" applyNumberFormat="0" applyAlignment="0" applyProtection="0"/>
    <xf numFmtId="0" fontId="47" fillId="15" borderId="22" applyNumberFormat="0" applyAlignment="0" applyProtection="0"/>
    <xf numFmtId="0" fontId="47" fillId="15" borderId="22" applyNumberFormat="0" applyAlignment="0" applyProtection="0"/>
    <xf numFmtId="0" fontId="47" fillId="15" borderId="22" applyNumberFormat="0" applyAlignment="0" applyProtection="0"/>
    <xf numFmtId="0" fontId="47" fillId="15" borderId="22" applyNumberFormat="0" applyAlignment="0" applyProtection="0"/>
    <xf numFmtId="0" fontId="47" fillId="15" borderId="22" applyNumberFormat="0" applyAlignment="0" applyProtection="0"/>
    <xf numFmtId="0" fontId="47" fillId="15" borderId="22" applyNumberFormat="0" applyAlignment="0" applyProtection="0"/>
    <xf numFmtId="0" fontId="47" fillId="15" borderId="22" applyNumberFormat="0" applyAlignment="0" applyProtection="0"/>
    <xf numFmtId="0" fontId="47" fillId="15" borderId="22" applyNumberFormat="0" applyAlignment="0" applyProtection="0"/>
    <xf numFmtId="0" fontId="47" fillId="15" borderId="22" applyNumberFormat="0" applyAlignment="0" applyProtection="0"/>
    <xf numFmtId="0" fontId="47" fillId="15" borderId="22" applyNumberFormat="0" applyAlignment="0" applyProtection="0"/>
    <xf numFmtId="0" fontId="47" fillId="15" borderId="22" applyNumberFormat="0" applyAlignment="0" applyProtection="0"/>
    <xf numFmtId="0" fontId="47" fillId="15" borderId="22" applyNumberFormat="0" applyAlignment="0" applyProtection="0"/>
    <xf numFmtId="0" fontId="47" fillId="15" borderId="22" applyNumberFormat="0" applyAlignment="0" applyProtection="0"/>
    <xf numFmtId="0" fontId="47" fillId="15" borderId="22" applyNumberFormat="0" applyAlignment="0" applyProtection="0"/>
    <xf numFmtId="0" fontId="47" fillId="15" borderId="22" applyNumberFormat="0" applyAlignment="0" applyProtection="0"/>
    <xf numFmtId="0" fontId="47" fillId="15" borderId="22" applyNumberFormat="0" applyAlignment="0" applyProtection="0"/>
    <xf numFmtId="49" fontId="40" fillId="0" borderId="0" applyFill="0" applyBorder="0" applyAlignment="0"/>
    <xf numFmtId="187" fontId="37" fillId="0" borderId="0" applyFill="0" applyBorder="0" applyAlignment="0"/>
    <xf numFmtId="188" fontId="37" fillId="0" borderId="0" applyFill="0" applyBorder="0" applyAlignment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1" fillId="0" borderId="24" applyNumberFormat="0" applyFill="0" applyAlignment="0" applyProtection="0"/>
    <xf numFmtId="0" fontId="51" fillId="0" borderId="24" applyNumberFormat="0" applyFill="0" applyAlignment="0" applyProtection="0"/>
    <xf numFmtId="0" fontId="51" fillId="0" borderId="24" applyNumberFormat="0" applyFill="0" applyAlignment="0" applyProtection="0"/>
    <xf numFmtId="0" fontId="51" fillId="0" borderId="24" applyNumberFormat="0" applyFill="0" applyAlignment="0" applyProtection="0"/>
    <xf numFmtId="0" fontId="51" fillId="0" borderId="24" applyNumberFormat="0" applyFill="0" applyAlignment="0" applyProtection="0"/>
    <xf numFmtId="0" fontId="51" fillId="0" borderId="24" applyNumberFormat="0" applyFill="0" applyAlignment="0" applyProtection="0"/>
    <xf numFmtId="0" fontId="51" fillId="0" borderId="24" applyNumberFormat="0" applyFill="0" applyAlignment="0" applyProtection="0"/>
    <xf numFmtId="0" fontId="51" fillId="0" borderId="24" applyNumberFormat="0" applyFill="0" applyAlignment="0" applyProtection="0"/>
    <xf numFmtId="0" fontId="51" fillId="0" borderId="24" applyNumberFormat="0" applyFill="0" applyAlignment="0" applyProtection="0"/>
    <xf numFmtId="0" fontId="51" fillId="0" borderId="24" applyNumberFormat="0" applyFill="0" applyAlignment="0" applyProtection="0"/>
    <xf numFmtId="0" fontId="51" fillId="0" borderId="24" applyNumberFormat="0" applyFill="0" applyAlignment="0" applyProtection="0"/>
    <xf numFmtId="0" fontId="51" fillId="0" borderId="24" applyNumberFormat="0" applyFill="0" applyAlignment="0" applyProtection="0"/>
    <xf numFmtId="0" fontId="51" fillId="0" borderId="24" applyNumberFormat="0" applyFill="0" applyAlignment="0" applyProtection="0"/>
    <xf numFmtId="0" fontId="51" fillId="0" borderId="24" applyNumberFormat="0" applyFill="0" applyAlignment="0" applyProtection="0"/>
    <xf numFmtId="0" fontId="51" fillId="0" borderId="24" applyNumberFormat="0" applyFill="0" applyAlignment="0" applyProtection="0"/>
    <xf numFmtId="0" fontId="51" fillId="0" borderId="24" applyNumberFormat="0" applyFill="0" applyAlignment="0" applyProtection="0"/>
    <xf numFmtId="0" fontId="51" fillId="0" borderId="24" applyNumberFormat="0" applyFill="0" applyAlignment="0" applyProtection="0"/>
    <xf numFmtId="0" fontId="51" fillId="0" borderId="24" applyNumberFormat="0" applyFill="0" applyAlignment="0" applyProtection="0"/>
    <xf numFmtId="0" fontId="51" fillId="0" borderId="24" applyNumberFormat="0" applyFill="0" applyAlignment="0" applyProtection="0"/>
    <xf numFmtId="0" fontId="51" fillId="0" borderId="24" applyNumberFormat="0" applyFill="0" applyAlignment="0" applyProtection="0"/>
    <xf numFmtId="0" fontId="51" fillId="0" borderId="24" applyNumberFormat="0" applyFill="0" applyAlignment="0" applyProtection="0"/>
    <xf numFmtId="0" fontId="51" fillId="0" borderId="24" applyNumberFormat="0" applyFill="0" applyAlignment="0" applyProtection="0"/>
    <xf numFmtId="0" fontId="51" fillId="0" borderId="24" applyNumberFormat="0" applyFill="0" applyAlignment="0" applyProtection="0"/>
    <xf numFmtId="0" fontId="51" fillId="0" borderId="24" applyNumberFormat="0" applyFill="0" applyAlignment="0" applyProtection="0"/>
    <xf numFmtId="0" fontId="51" fillId="0" borderId="24" applyNumberFormat="0" applyFill="0" applyAlignment="0" applyProtection="0"/>
    <xf numFmtId="0" fontId="51" fillId="0" borderId="24" applyNumberFormat="0" applyFill="0" applyAlignment="0" applyProtection="0"/>
    <xf numFmtId="0" fontId="51" fillId="0" borderId="24" applyNumberFormat="0" applyFill="0" applyAlignment="0" applyProtection="0"/>
    <xf numFmtId="0" fontId="51" fillId="0" borderId="24" applyNumberFormat="0" applyFill="0" applyAlignment="0" applyProtection="0"/>
    <xf numFmtId="0" fontId="51" fillId="0" borderId="24" applyNumberFormat="0" applyFill="0" applyAlignment="0" applyProtection="0"/>
    <xf numFmtId="0" fontId="51" fillId="0" borderId="24" applyNumberFormat="0" applyFill="0" applyAlignment="0" applyProtection="0"/>
    <xf numFmtId="0" fontId="51" fillId="0" borderId="24" applyNumberFormat="0" applyFill="0" applyAlignment="0" applyProtection="0"/>
    <xf numFmtId="0" fontId="51" fillId="0" borderId="24" applyNumberFormat="0" applyFill="0" applyAlignment="0" applyProtection="0"/>
    <xf numFmtId="0" fontId="51" fillId="0" borderId="24" applyNumberFormat="0" applyFill="0" applyAlignment="0" applyProtection="0"/>
    <xf numFmtId="0" fontId="51" fillId="0" borderId="24" applyNumberFormat="0" applyFill="0" applyAlignment="0" applyProtection="0"/>
    <xf numFmtId="0" fontId="51" fillId="0" borderId="24" applyNumberFormat="0" applyFill="0" applyAlignment="0" applyProtection="0"/>
    <xf numFmtId="0" fontId="51" fillId="0" borderId="24" applyNumberFormat="0" applyFill="0" applyAlignment="0" applyProtection="0"/>
    <xf numFmtId="0" fontId="52" fillId="0" borderId="25" applyNumberFormat="0" applyFill="0" applyAlignment="0" applyProtection="0"/>
    <xf numFmtId="0" fontId="52" fillId="0" borderId="25" applyNumberFormat="0" applyFill="0" applyAlignment="0" applyProtection="0"/>
    <xf numFmtId="0" fontId="52" fillId="0" borderId="25" applyNumberFormat="0" applyFill="0" applyAlignment="0" applyProtection="0"/>
    <xf numFmtId="0" fontId="52" fillId="0" borderId="25" applyNumberFormat="0" applyFill="0" applyAlignment="0" applyProtection="0"/>
    <xf numFmtId="0" fontId="52" fillId="0" borderId="25" applyNumberFormat="0" applyFill="0" applyAlignment="0" applyProtection="0"/>
    <xf numFmtId="0" fontId="52" fillId="0" borderId="25" applyNumberFormat="0" applyFill="0" applyAlignment="0" applyProtection="0"/>
    <xf numFmtId="0" fontId="52" fillId="0" borderId="25" applyNumberFormat="0" applyFill="0" applyAlignment="0" applyProtection="0"/>
    <xf numFmtId="0" fontId="52" fillId="0" borderId="25" applyNumberFormat="0" applyFill="0" applyAlignment="0" applyProtection="0"/>
    <xf numFmtId="0" fontId="52" fillId="0" borderId="25" applyNumberFormat="0" applyFill="0" applyAlignment="0" applyProtection="0"/>
    <xf numFmtId="0" fontId="52" fillId="0" borderId="25" applyNumberFormat="0" applyFill="0" applyAlignment="0" applyProtection="0"/>
    <xf numFmtId="0" fontId="52" fillId="0" borderId="25" applyNumberFormat="0" applyFill="0" applyAlignment="0" applyProtection="0"/>
    <xf numFmtId="0" fontId="52" fillId="0" borderId="25" applyNumberFormat="0" applyFill="0" applyAlignment="0" applyProtection="0"/>
    <xf numFmtId="0" fontId="52" fillId="0" borderId="25" applyNumberFormat="0" applyFill="0" applyAlignment="0" applyProtection="0"/>
    <xf numFmtId="0" fontId="52" fillId="0" borderId="25" applyNumberFormat="0" applyFill="0" applyAlignment="0" applyProtection="0"/>
    <xf numFmtId="0" fontId="52" fillId="0" borderId="25" applyNumberFormat="0" applyFill="0" applyAlignment="0" applyProtection="0"/>
    <xf numFmtId="0" fontId="52" fillId="0" borderId="25" applyNumberFormat="0" applyFill="0" applyAlignment="0" applyProtection="0"/>
    <xf numFmtId="0" fontId="52" fillId="0" borderId="25" applyNumberFormat="0" applyFill="0" applyAlignment="0" applyProtection="0"/>
    <xf numFmtId="0" fontId="52" fillId="0" borderId="25" applyNumberFormat="0" applyFill="0" applyAlignment="0" applyProtection="0"/>
    <xf numFmtId="0" fontId="52" fillId="0" borderId="25" applyNumberFormat="0" applyFill="0" applyAlignment="0" applyProtection="0"/>
    <xf numFmtId="0" fontId="52" fillId="0" borderId="25" applyNumberFormat="0" applyFill="0" applyAlignment="0" applyProtection="0"/>
    <xf numFmtId="0" fontId="52" fillId="0" borderId="25" applyNumberFormat="0" applyFill="0" applyAlignment="0" applyProtection="0"/>
    <xf numFmtId="0" fontId="52" fillId="0" borderId="25" applyNumberFormat="0" applyFill="0" applyAlignment="0" applyProtection="0"/>
    <xf numFmtId="0" fontId="52" fillId="0" borderId="25" applyNumberFormat="0" applyFill="0" applyAlignment="0" applyProtection="0"/>
    <xf numFmtId="0" fontId="52" fillId="0" borderId="25" applyNumberFormat="0" applyFill="0" applyAlignment="0" applyProtection="0"/>
    <xf numFmtId="0" fontId="52" fillId="0" borderId="25" applyNumberFormat="0" applyFill="0" applyAlignment="0" applyProtection="0"/>
    <xf numFmtId="0" fontId="52" fillId="0" borderId="25" applyNumberFormat="0" applyFill="0" applyAlignment="0" applyProtection="0"/>
    <xf numFmtId="0" fontId="52" fillId="0" borderId="25" applyNumberFormat="0" applyFill="0" applyAlignment="0" applyProtection="0"/>
    <xf numFmtId="0" fontId="52" fillId="0" borderId="25" applyNumberFormat="0" applyFill="0" applyAlignment="0" applyProtection="0"/>
    <xf numFmtId="0" fontId="52" fillId="0" borderId="25" applyNumberFormat="0" applyFill="0" applyAlignment="0" applyProtection="0"/>
    <xf numFmtId="0" fontId="52" fillId="0" borderId="25" applyNumberFormat="0" applyFill="0" applyAlignment="0" applyProtection="0"/>
    <xf numFmtId="0" fontId="52" fillId="0" borderId="25" applyNumberFormat="0" applyFill="0" applyAlignment="0" applyProtection="0"/>
    <xf numFmtId="0" fontId="52" fillId="0" borderId="25" applyNumberFormat="0" applyFill="0" applyAlignment="0" applyProtection="0"/>
    <xf numFmtId="0" fontId="52" fillId="0" borderId="25" applyNumberFormat="0" applyFill="0" applyAlignment="0" applyProtection="0"/>
    <xf numFmtId="0" fontId="52" fillId="0" borderId="25" applyNumberFormat="0" applyFill="0" applyAlignment="0" applyProtection="0"/>
    <xf numFmtId="0" fontId="52" fillId="0" borderId="25" applyNumberFormat="0" applyFill="0" applyAlignment="0" applyProtection="0"/>
    <xf numFmtId="0" fontId="52" fillId="0" borderId="25" applyNumberFormat="0" applyFill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26" applyNumberFormat="0" applyFill="0" applyAlignment="0" applyProtection="0"/>
    <xf numFmtId="0" fontId="53" fillId="0" borderId="26" applyNumberFormat="0" applyFill="0" applyAlignment="0" applyProtection="0"/>
    <xf numFmtId="0" fontId="53" fillId="0" borderId="26" applyNumberFormat="0" applyFill="0" applyAlignment="0" applyProtection="0"/>
    <xf numFmtId="0" fontId="53" fillId="0" borderId="26" applyNumberFormat="0" applyFill="0" applyAlignment="0" applyProtection="0"/>
    <xf numFmtId="0" fontId="53" fillId="0" borderId="26" applyNumberFormat="0" applyFill="0" applyAlignment="0" applyProtection="0"/>
    <xf numFmtId="0" fontId="53" fillId="0" borderId="26" applyNumberFormat="0" applyFill="0" applyAlignment="0" applyProtection="0"/>
    <xf numFmtId="0" fontId="53" fillId="0" borderId="26" applyNumberFormat="0" applyFill="0" applyAlignment="0" applyProtection="0"/>
    <xf numFmtId="0" fontId="53" fillId="0" borderId="26" applyNumberFormat="0" applyFill="0" applyAlignment="0" applyProtection="0"/>
    <xf numFmtId="0" fontId="53" fillId="0" borderId="26" applyNumberFormat="0" applyFill="0" applyAlignment="0" applyProtection="0"/>
    <xf numFmtId="0" fontId="53" fillId="0" borderId="26" applyNumberFormat="0" applyFill="0" applyAlignment="0" applyProtection="0"/>
    <xf numFmtId="0" fontId="53" fillId="0" borderId="26" applyNumberFormat="0" applyFill="0" applyAlignment="0" applyProtection="0"/>
    <xf numFmtId="0" fontId="53" fillId="0" borderId="26" applyNumberFormat="0" applyFill="0" applyAlignment="0" applyProtection="0"/>
    <xf numFmtId="0" fontId="53" fillId="0" borderId="26" applyNumberFormat="0" applyFill="0" applyAlignment="0" applyProtection="0"/>
    <xf numFmtId="0" fontId="53" fillId="0" borderId="26" applyNumberFormat="0" applyFill="0" applyAlignment="0" applyProtection="0"/>
    <xf numFmtId="0" fontId="53" fillId="0" borderId="26" applyNumberFormat="0" applyFill="0" applyAlignment="0" applyProtection="0"/>
    <xf numFmtId="0" fontId="53" fillId="0" borderId="26" applyNumberFormat="0" applyFill="0" applyAlignment="0" applyProtection="0"/>
    <xf numFmtId="0" fontId="53" fillId="0" borderId="26" applyNumberFormat="0" applyFill="0" applyAlignment="0" applyProtection="0"/>
    <xf numFmtId="0" fontId="53" fillId="0" borderId="26" applyNumberFormat="0" applyFill="0" applyAlignment="0" applyProtection="0"/>
    <xf numFmtId="0" fontId="53" fillId="0" borderId="26" applyNumberFormat="0" applyFill="0" applyAlignment="0" applyProtection="0"/>
    <xf numFmtId="0" fontId="53" fillId="0" borderId="26" applyNumberFormat="0" applyFill="0" applyAlignment="0" applyProtection="0"/>
    <xf numFmtId="0" fontId="53" fillId="0" borderId="26" applyNumberFormat="0" applyFill="0" applyAlignment="0" applyProtection="0"/>
    <xf numFmtId="0" fontId="53" fillId="0" borderId="26" applyNumberFormat="0" applyFill="0" applyAlignment="0" applyProtection="0"/>
    <xf numFmtId="0" fontId="53" fillId="0" borderId="26" applyNumberFormat="0" applyFill="0" applyAlignment="0" applyProtection="0"/>
    <xf numFmtId="0" fontId="53" fillId="0" borderId="26" applyNumberFormat="0" applyFill="0" applyAlignment="0" applyProtection="0"/>
    <xf numFmtId="0" fontId="53" fillId="0" borderId="26" applyNumberFormat="0" applyFill="0" applyAlignment="0" applyProtection="0"/>
    <xf numFmtId="0" fontId="53" fillId="0" borderId="26" applyNumberFormat="0" applyFill="0" applyAlignment="0" applyProtection="0"/>
    <xf numFmtId="0" fontId="53" fillId="0" borderId="26" applyNumberFormat="0" applyFill="0" applyAlignment="0" applyProtection="0"/>
    <xf numFmtId="0" fontId="53" fillId="0" borderId="26" applyNumberFormat="0" applyFill="0" applyAlignment="0" applyProtection="0"/>
    <xf numFmtId="0" fontId="53" fillId="0" borderId="26" applyNumberFormat="0" applyFill="0" applyAlignment="0" applyProtection="0"/>
    <xf numFmtId="0" fontId="53" fillId="0" borderId="26" applyNumberFormat="0" applyFill="0" applyAlignment="0" applyProtection="0"/>
    <xf numFmtId="0" fontId="53" fillId="0" borderId="26" applyNumberFormat="0" applyFill="0" applyAlignment="0" applyProtection="0"/>
    <xf numFmtId="0" fontId="53" fillId="0" borderId="26" applyNumberFormat="0" applyFill="0" applyAlignment="0" applyProtection="0"/>
    <xf numFmtId="0" fontId="53" fillId="0" borderId="26" applyNumberFormat="0" applyFill="0" applyAlignment="0" applyProtection="0"/>
    <xf numFmtId="0" fontId="53" fillId="0" borderId="26" applyNumberFormat="0" applyFill="0" applyAlignment="0" applyProtection="0"/>
    <xf numFmtId="0" fontId="53" fillId="0" borderId="26" applyNumberFormat="0" applyFill="0" applyAlignment="0" applyProtection="0"/>
    <xf numFmtId="0" fontId="53" fillId="0" borderId="26" applyNumberFormat="0" applyFill="0" applyAlignment="0" applyProtection="0"/>
    <xf numFmtId="0" fontId="54" fillId="18" borderId="27" applyNumberFormat="0" applyAlignment="0" applyProtection="0"/>
    <xf numFmtId="0" fontId="54" fillId="18" borderId="27" applyNumberFormat="0" applyAlignment="0" applyProtection="0"/>
    <xf numFmtId="0" fontId="54" fillId="18" borderId="27" applyNumberFormat="0" applyAlignment="0" applyProtection="0"/>
    <xf numFmtId="0" fontId="54" fillId="18" borderId="27" applyNumberFormat="0" applyAlignment="0" applyProtection="0"/>
    <xf numFmtId="0" fontId="54" fillId="18" borderId="27" applyNumberFormat="0" applyAlignment="0" applyProtection="0"/>
    <xf numFmtId="0" fontId="54" fillId="18" borderId="27" applyNumberFormat="0" applyAlignment="0" applyProtection="0"/>
    <xf numFmtId="0" fontId="54" fillId="18" borderId="27" applyNumberFormat="0" applyAlignment="0" applyProtection="0"/>
    <xf numFmtId="0" fontId="54" fillId="18" borderId="27" applyNumberFormat="0" applyAlignment="0" applyProtection="0"/>
    <xf numFmtId="0" fontId="54" fillId="18" borderId="27" applyNumberFormat="0" applyAlignment="0" applyProtection="0"/>
    <xf numFmtId="0" fontId="54" fillId="18" borderId="27" applyNumberFormat="0" applyAlignment="0" applyProtection="0"/>
    <xf numFmtId="0" fontId="54" fillId="18" borderId="27" applyNumberFormat="0" applyAlignment="0" applyProtection="0"/>
    <xf numFmtId="0" fontId="54" fillId="18" borderId="27" applyNumberFormat="0" applyAlignment="0" applyProtection="0"/>
    <xf numFmtId="0" fontId="54" fillId="18" borderId="27" applyNumberFormat="0" applyAlignment="0" applyProtection="0"/>
    <xf numFmtId="0" fontId="54" fillId="18" borderId="27" applyNumberFormat="0" applyAlignment="0" applyProtection="0"/>
    <xf numFmtId="0" fontId="54" fillId="18" borderId="27" applyNumberFormat="0" applyAlignment="0" applyProtection="0"/>
    <xf numFmtId="0" fontId="54" fillId="18" borderId="27" applyNumberFormat="0" applyAlignment="0" applyProtection="0"/>
    <xf numFmtId="0" fontId="54" fillId="18" borderId="27" applyNumberFormat="0" applyAlignment="0" applyProtection="0"/>
    <xf numFmtId="0" fontId="54" fillId="18" borderId="27" applyNumberFormat="0" applyAlignment="0" applyProtection="0"/>
    <xf numFmtId="0" fontId="54" fillId="18" borderId="27" applyNumberFormat="0" applyAlignment="0" applyProtection="0"/>
    <xf numFmtId="0" fontId="54" fillId="18" borderId="27" applyNumberFormat="0" applyAlignment="0" applyProtection="0"/>
    <xf numFmtId="0" fontId="54" fillId="18" borderId="27" applyNumberFormat="0" applyAlignment="0" applyProtection="0"/>
    <xf numFmtId="0" fontId="54" fillId="18" borderId="27" applyNumberFormat="0" applyAlignment="0" applyProtection="0"/>
    <xf numFmtId="0" fontId="54" fillId="18" borderId="27" applyNumberFormat="0" applyAlignment="0" applyProtection="0"/>
    <xf numFmtId="0" fontId="54" fillId="18" borderId="27" applyNumberFormat="0" applyAlignment="0" applyProtection="0"/>
    <xf numFmtId="0" fontId="54" fillId="18" borderId="27" applyNumberFormat="0" applyAlignment="0" applyProtection="0"/>
    <xf numFmtId="0" fontId="54" fillId="18" borderId="27" applyNumberFormat="0" applyAlignment="0" applyProtection="0"/>
    <xf numFmtId="0" fontId="54" fillId="18" borderId="27" applyNumberFormat="0" applyAlignment="0" applyProtection="0"/>
    <xf numFmtId="0" fontId="54" fillId="18" borderId="27" applyNumberFormat="0" applyAlignment="0" applyProtection="0"/>
    <xf numFmtId="0" fontId="54" fillId="18" borderId="27" applyNumberFormat="0" applyAlignment="0" applyProtection="0"/>
    <xf numFmtId="0" fontId="54" fillId="18" borderId="27" applyNumberFormat="0" applyAlignment="0" applyProtection="0"/>
    <xf numFmtId="0" fontId="54" fillId="18" borderId="27" applyNumberFormat="0" applyAlignment="0" applyProtection="0"/>
    <xf numFmtId="0" fontId="54" fillId="18" borderId="27" applyNumberFormat="0" applyAlignment="0" applyProtection="0"/>
    <xf numFmtId="0" fontId="54" fillId="18" borderId="27" applyNumberFormat="0" applyAlignment="0" applyProtection="0"/>
    <xf numFmtId="0" fontId="54" fillId="18" borderId="27" applyNumberFormat="0" applyAlignment="0" applyProtection="0"/>
    <xf numFmtId="0" fontId="54" fillId="18" borderId="27" applyNumberFormat="0" applyAlignment="0" applyProtection="0"/>
    <xf numFmtId="0" fontId="54" fillId="18" borderId="27" applyNumberFormat="0" applyAlignment="0" applyProtection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2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23" fillId="0" borderId="0" applyFont="0" applyFill="0" applyBorder="0" applyAlignment="0" applyProtection="0"/>
    <xf numFmtId="0" fontId="34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4" fontId="1" fillId="0" borderId="0" applyFont="0" applyFill="0" applyBorder="0" applyAlignment="0" applyProtection="0"/>
  </cellStyleXfs>
  <cellXfs count="894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5" fontId="2" fillId="0" borderId="0" xfId="2" applyNumberFormat="1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5" xfId="0" quotePrefix="1" applyFont="1" applyBorder="1" applyAlignment="1">
      <alignment horizontal="center" vertical="center"/>
    </xf>
    <xf numFmtId="0" fontId="8" fillId="0" borderId="6" xfId="0" quotePrefix="1" applyFont="1" applyBorder="1" applyAlignment="1">
      <alignment horizontal="center" vertical="center"/>
    </xf>
    <xf numFmtId="166" fontId="3" fillId="0" borderId="0" xfId="0" applyNumberFormat="1" applyFont="1" applyAlignment="1">
      <alignment vertical="center"/>
    </xf>
    <xf numFmtId="49" fontId="8" fillId="0" borderId="8" xfId="0" applyNumberFormat="1" applyFont="1" applyBorder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3" fontId="11" fillId="0" borderId="6" xfId="0" applyNumberFormat="1" applyFont="1" applyFill="1" applyBorder="1" applyAlignment="1">
      <alignment horizontal="center" vertical="center"/>
    </xf>
    <xf numFmtId="3" fontId="12" fillId="0" borderId="0" xfId="0" applyNumberFormat="1" applyFont="1" applyFill="1" applyAlignment="1">
      <alignment vertical="center"/>
    </xf>
    <xf numFmtId="3" fontId="11" fillId="0" borderId="4" xfId="0" applyNumberFormat="1" applyFont="1" applyFill="1" applyBorder="1" applyAlignment="1">
      <alignment horizontal="center" vertical="center"/>
    </xf>
    <xf numFmtId="3" fontId="12" fillId="0" borderId="0" xfId="0" applyNumberFormat="1" applyFont="1" applyAlignment="1">
      <alignment vertical="center"/>
    </xf>
    <xf numFmtId="3" fontId="11" fillId="0" borderId="0" xfId="0" applyNumberFormat="1" applyFont="1" applyFill="1" applyBorder="1" applyAlignment="1">
      <alignment horizontal="center" vertical="center"/>
    </xf>
    <xf numFmtId="3" fontId="3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3" fontId="12" fillId="0" borderId="5" xfId="0" applyNumberFormat="1" applyFont="1" applyFill="1" applyBorder="1" applyAlignment="1">
      <alignment horizontal="center" vertical="center"/>
    </xf>
    <xf numFmtId="3" fontId="12" fillId="0" borderId="5" xfId="0" applyNumberFormat="1" applyFont="1" applyBorder="1" applyAlignment="1">
      <alignment horizontal="center" vertical="center"/>
    </xf>
    <xf numFmtId="3" fontId="12" fillId="0" borderId="11" xfId="0" applyNumberFormat="1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3" fontId="12" fillId="0" borderId="9" xfId="0" applyNumberFormat="1" applyFont="1" applyFill="1" applyBorder="1" applyAlignment="1">
      <alignment horizontal="center" vertical="center"/>
    </xf>
    <xf numFmtId="3" fontId="12" fillId="0" borderId="13" xfId="0" applyNumberFormat="1" applyFont="1" applyFill="1" applyBorder="1" applyAlignment="1">
      <alignment horizontal="center" vertical="center"/>
    </xf>
    <xf numFmtId="3" fontId="11" fillId="0" borderId="0" xfId="0" applyNumberFormat="1" applyFont="1" applyFill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3" fontId="11" fillId="0" borderId="0" xfId="0" applyNumberFormat="1" applyFont="1" applyAlignment="1">
      <alignment vertical="center"/>
    </xf>
    <xf numFmtId="0" fontId="9" fillId="0" borderId="0" xfId="0" applyFont="1" applyFill="1" applyAlignment="1">
      <alignment horizontal="center" vertical="center"/>
    </xf>
    <xf numFmtId="3" fontId="12" fillId="0" borderId="0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3" fillId="0" borderId="0" xfId="0" applyFont="1" applyBorder="1" applyAlignment="1">
      <alignment vertical="center"/>
    </xf>
    <xf numFmtId="9" fontId="9" fillId="0" borderId="12" xfId="0" applyNumberFormat="1" applyFont="1" applyBorder="1" applyAlignment="1">
      <alignment horizontal="center" vertical="center"/>
    </xf>
    <xf numFmtId="9" fontId="9" fillId="0" borderId="0" xfId="0" applyNumberFormat="1" applyFont="1" applyBorder="1" applyAlignment="1">
      <alignment horizontal="center" vertical="center"/>
    </xf>
    <xf numFmtId="9" fontId="9" fillId="0" borderId="11" xfId="0" applyNumberFormat="1" applyFont="1" applyBorder="1" applyAlignment="1">
      <alignment horizontal="center" vertical="center"/>
    </xf>
    <xf numFmtId="9" fontId="9" fillId="0" borderId="15" xfId="0" applyNumberFormat="1" applyFont="1" applyBorder="1" applyAlignment="1">
      <alignment horizontal="center" vertical="center"/>
    </xf>
    <xf numFmtId="9" fontId="9" fillId="0" borderId="13" xfId="0" applyNumberFormat="1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166" fontId="7" fillId="0" borderId="0" xfId="0" applyNumberFormat="1" applyFont="1" applyAlignment="1">
      <alignment vertical="center"/>
    </xf>
    <xf numFmtId="0" fontId="6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49" fontId="7" fillId="0" borderId="10" xfId="0" applyNumberFormat="1" applyFont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49" fontId="7" fillId="0" borderId="0" xfId="0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6" fillId="0" borderId="6" xfId="0" applyFont="1" applyFill="1" applyBorder="1" applyAlignment="1">
      <alignment horizontal="left" vertical="center"/>
    </xf>
    <xf numFmtId="0" fontId="7" fillId="0" borderId="0" xfId="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13" fillId="0" borderId="5" xfId="0" applyFont="1" applyFill="1" applyBorder="1" applyAlignment="1">
      <alignment horizontal="right" vertical="center"/>
    </xf>
    <xf numFmtId="0" fontId="8" fillId="0" borderId="0" xfId="0" applyFont="1" applyFill="1" applyAlignment="1">
      <alignment vertical="center"/>
    </xf>
    <xf numFmtId="0" fontId="8" fillId="0" borderId="0" xfId="0" applyFont="1" applyFill="1" applyAlignment="1">
      <alignment horizontal="center" vertical="center"/>
    </xf>
    <xf numFmtId="9" fontId="9" fillId="0" borderId="12" xfId="0" applyNumberFormat="1" applyFont="1" applyFill="1" applyBorder="1" applyAlignment="1">
      <alignment horizontal="center" vertical="center"/>
    </xf>
    <xf numFmtId="9" fontId="9" fillId="0" borderId="0" xfId="0" applyNumberFormat="1" applyFont="1" applyFill="1" applyBorder="1" applyAlignment="1">
      <alignment horizontal="center" vertical="center"/>
    </xf>
    <xf numFmtId="9" fontId="9" fillId="0" borderId="11" xfId="0" applyNumberFormat="1" applyFont="1" applyFill="1" applyBorder="1" applyAlignment="1">
      <alignment horizontal="center" vertical="center"/>
    </xf>
    <xf numFmtId="0" fontId="13" fillId="0" borderId="9" xfId="0" applyFont="1" applyFill="1" applyBorder="1" applyAlignment="1">
      <alignment horizontal="right" vertical="center"/>
    </xf>
    <xf numFmtId="9" fontId="9" fillId="0" borderId="15" xfId="0" applyNumberFormat="1" applyFont="1" applyFill="1" applyBorder="1" applyAlignment="1">
      <alignment horizontal="center" vertical="center"/>
    </xf>
    <xf numFmtId="9" fontId="9" fillId="0" borderId="14" xfId="0" applyNumberFormat="1" applyFont="1" applyFill="1" applyBorder="1" applyAlignment="1">
      <alignment horizontal="center" vertical="center"/>
    </xf>
    <xf numFmtId="9" fontId="9" fillId="0" borderId="13" xfId="0" applyNumberFormat="1" applyFont="1" applyFill="1" applyBorder="1" applyAlignment="1">
      <alignment horizontal="center" vertical="center"/>
    </xf>
    <xf numFmtId="3" fontId="11" fillId="0" borderId="5" xfId="0" applyNumberFormat="1" applyFont="1" applyFill="1" applyBorder="1" applyAlignment="1">
      <alignment horizontal="center" vertical="center"/>
    </xf>
    <xf numFmtId="3" fontId="11" fillId="0" borderId="0" xfId="0" applyNumberFormat="1" applyFont="1" applyFill="1" applyAlignment="1">
      <alignment vertical="center"/>
    </xf>
    <xf numFmtId="49" fontId="12" fillId="0" borderId="0" xfId="0" applyNumberFormat="1" applyFont="1" applyFill="1" applyBorder="1" applyAlignment="1">
      <alignment horizontal="center" vertical="center"/>
    </xf>
    <xf numFmtId="0" fontId="12" fillId="0" borderId="0" xfId="0" applyFont="1" applyFill="1" applyAlignment="1">
      <alignment vertical="center"/>
    </xf>
    <xf numFmtId="0" fontId="12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4" fontId="7" fillId="0" borderId="0" xfId="0" applyNumberFormat="1" applyFont="1" applyFill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165" fontId="7" fillId="0" borderId="0" xfId="2" applyNumberFormat="1" applyFont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7" fillId="0" borderId="6" xfId="0" applyFont="1" applyBorder="1" applyAlignment="1">
      <alignment horizontal="center" vertical="center"/>
    </xf>
    <xf numFmtId="3" fontId="12" fillId="0" borderId="6" xfId="0" applyNumberFormat="1" applyFont="1" applyFill="1" applyBorder="1" applyAlignment="1">
      <alignment horizontal="center" vertical="center"/>
    </xf>
    <xf numFmtId="9" fontId="9" fillId="0" borderId="3" xfId="0" applyNumberFormat="1" applyFont="1" applyBorder="1" applyAlignment="1">
      <alignment horizontal="center" vertical="center"/>
    </xf>
    <xf numFmtId="9" fontId="9" fillId="0" borderId="10" xfId="0" applyNumberFormat="1" applyFont="1" applyBorder="1" applyAlignment="1">
      <alignment horizontal="center" vertical="center"/>
    </xf>
    <xf numFmtId="9" fontId="9" fillId="0" borderId="4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7" fillId="0" borderId="5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7" fillId="0" borderId="9" xfId="0" applyFont="1" applyBorder="1" applyAlignment="1">
      <alignment horizontal="center" vertical="center"/>
    </xf>
    <xf numFmtId="9" fontId="9" fillId="0" borderId="14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6" fillId="0" borderId="8" xfId="0" applyFont="1" applyFill="1" applyBorder="1" applyAlignment="1">
      <alignment horizontal="left" vertical="center"/>
    </xf>
    <xf numFmtId="0" fontId="7" fillId="0" borderId="8" xfId="0" applyFont="1" applyFill="1" applyBorder="1" applyAlignment="1">
      <alignment horizontal="center" vertical="center"/>
    </xf>
    <xf numFmtId="3" fontId="11" fillId="0" borderId="8" xfId="0" applyNumberFormat="1" applyFont="1" applyFill="1" applyBorder="1" applyAlignment="1">
      <alignment horizontal="center" vertical="center"/>
    </xf>
    <xf numFmtId="4" fontId="12" fillId="0" borderId="0" xfId="0" applyNumberFormat="1" applyFont="1" applyAlignment="1">
      <alignment horizontal="center" vertical="center"/>
    </xf>
    <xf numFmtId="0" fontId="6" fillId="0" borderId="8" xfId="0" applyFont="1" applyBorder="1" applyAlignment="1">
      <alignment horizontal="left" vertical="center"/>
    </xf>
    <xf numFmtId="0" fontId="7" fillId="0" borderId="8" xfId="0" applyFont="1" applyBorder="1" applyAlignment="1">
      <alignment horizontal="center" vertical="center"/>
    </xf>
    <xf numFmtId="3" fontId="11" fillId="0" borderId="8" xfId="0" applyNumberFormat="1" applyFont="1" applyBorder="1" applyAlignment="1">
      <alignment horizontal="center" vertical="center"/>
    </xf>
    <xf numFmtId="4" fontId="7" fillId="0" borderId="0" xfId="0" applyNumberFormat="1" applyFont="1" applyAlignment="1">
      <alignment horizontal="center" vertical="center"/>
    </xf>
    <xf numFmtId="4" fontId="7" fillId="0" borderId="0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9" fontId="15" fillId="0" borderId="0" xfId="0" applyNumberFormat="1" applyFont="1" applyBorder="1" applyAlignment="1">
      <alignment horizontal="center" vertical="center"/>
    </xf>
    <xf numFmtId="0" fontId="8" fillId="0" borderId="0" xfId="0" applyFont="1" applyFill="1" applyBorder="1" applyAlignment="1">
      <alignment horizontal="left" vertical="center"/>
    </xf>
    <xf numFmtId="0" fontId="3" fillId="0" borderId="0" xfId="0" applyFont="1" applyFill="1" applyAlignment="1">
      <alignment vertical="center"/>
    </xf>
    <xf numFmtId="0" fontId="8" fillId="0" borderId="5" xfId="0" applyFont="1" applyFill="1" applyBorder="1" applyAlignment="1">
      <alignment vertical="center"/>
    </xf>
    <xf numFmtId="3" fontId="11" fillId="0" borderId="1" xfId="0" applyNumberFormat="1" applyFont="1" applyFill="1" applyBorder="1" applyAlignment="1">
      <alignment horizontal="center" vertical="center"/>
    </xf>
    <xf numFmtId="0" fontId="8" fillId="0" borderId="14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8" fillId="0" borderId="9" xfId="0" applyFont="1" applyFill="1" applyBorder="1" applyAlignment="1">
      <alignment horizontal="left" vertical="center"/>
    </xf>
    <xf numFmtId="0" fontId="9" fillId="0" borderId="6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3" fontId="11" fillId="0" borderId="5" xfId="0" applyNumberFormat="1" applyFont="1" applyFill="1" applyBorder="1" applyAlignment="1">
      <alignment vertical="center"/>
    </xf>
    <xf numFmtId="0" fontId="8" fillId="0" borderId="8" xfId="0" applyFont="1" applyFill="1" applyBorder="1" applyAlignment="1">
      <alignment vertical="center"/>
    </xf>
    <xf numFmtId="0" fontId="8" fillId="0" borderId="12" xfId="0" applyFont="1" applyFill="1" applyBorder="1" applyAlignment="1">
      <alignment vertical="center"/>
    </xf>
    <xf numFmtId="49" fontId="7" fillId="0" borderId="0" xfId="0" applyNumberFormat="1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7" fillId="0" borderId="0" xfId="0" applyFont="1" applyFill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2" borderId="5" xfId="0" applyFont="1" applyFill="1" applyBorder="1" applyAlignment="1" applyProtection="1">
      <alignment horizontal="center" vertical="center"/>
    </xf>
    <xf numFmtId="0" fontId="7" fillId="0" borderId="8" xfId="0" applyFont="1" applyFill="1" applyBorder="1" applyAlignment="1">
      <alignment vertical="center"/>
    </xf>
    <xf numFmtId="3" fontId="3" fillId="0" borderId="0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165" fontId="3" fillId="0" borderId="0" xfId="4" applyNumberFormat="1" applyFont="1" applyAlignment="1">
      <alignment horizontal="left" vertical="center"/>
    </xf>
    <xf numFmtId="0" fontId="2" fillId="0" borderId="6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8" fillId="0" borderId="8" xfId="0" applyFont="1" applyFill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49" fontId="0" fillId="0" borderId="0" xfId="0" quotePrefix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166" fontId="3" fillId="0" borderId="0" xfId="0" applyNumberFormat="1" applyFont="1" applyAlignment="1">
      <alignment vertical="center" wrapText="1"/>
    </xf>
    <xf numFmtId="3" fontId="12" fillId="3" borderId="5" xfId="0" applyNumberFormat="1" applyFont="1" applyFill="1" applyBorder="1" applyAlignment="1">
      <alignment horizontal="center" vertical="center"/>
    </xf>
    <xf numFmtId="3" fontId="12" fillId="3" borderId="0" xfId="0" applyNumberFormat="1" applyFont="1" applyFill="1" applyAlignment="1">
      <alignment vertical="center"/>
    </xf>
    <xf numFmtId="49" fontId="12" fillId="3" borderId="0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vertical="center"/>
    </xf>
    <xf numFmtId="164" fontId="7" fillId="0" borderId="0" xfId="1" applyFont="1" applyFill="1" applyAlignment="1">
      <alignment vertical="center"/>
    </xf>
    <xf numFmtId="164" fontId="7" fillId="0" borderId="0" xfId="1" applyFont="1" applyFill="1" applyAlignment="1">
      <alignment horizontal="center" vertical="center"/>
    </xf>
    <xf numFmtId="164" fontId="3" fillId="0" borderId="0" xfId="1" applyFont="1" applyAlignment="1">
      <alignment vertical="center"/>
    </xf>
    <xf numFmtId="165" fontId="0" fillId="0" borderId="0" xfId="0" applyNumberFormat="1"/>
    <xf numFmtId="164" fontId="0" fillId="0" borderId="0" xfId="1" applyFont="1"/>
    <xf numFmtId="164" fontId="7" fillId="0" borderId="0" xfId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24" fillId="0" borderId="0" xfId="0" applyFont="1" applyAlignment="1">
      <alignment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165" fontId="24" fillId="0" borderId="0" xfId="2" applyNumberFormat="1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26" fillId="0" borderId="5" xfId="0" quotePrefix="1" applyFont="1" applyBorder="1" applyAlignment="1">
      <alignment horizontal="center" vertical="center"/>
    </xf>
    <xf numFmtId="49" fontId="26" fillId="0" borderId="5" xfId="0" applyNumberFormat="1" applyFont="1" applyBorder="1" applyAlignment="1">
      <alignment horizontal="center" vertical="center"/>
    </xf>
    <xf numFmtId="49" fontId="24" fillId="0" borderId="10" xfId="0" applyNumberFormat="1" applyFont="1" applyBorder="1" applyAlignment="1">
      <alignment horizontal="center" vertical="center"/>
    </xf>
    <xf numFmtId="49" fontId="24" fillId="0" borderId="0" xfId="0" applyNumberFormat="1" applyFont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4" fillId="0" borderId="0" xfId="0" applyFont="1" applyFill="1" applyAlignment="1">
      <alignment vertical="center"/>
    </xf>
    <xf numFmtId="3" fontId="26" fillId="0" borderId="0" xfId="0" applyNumberFormat="1" applyFont="1" applyFill="1" applyBorder="1" applyAlignment="1">
      <alignment horizontal="center" vertical="center"/>
    </xf>
    <xf numFmtId="3" fontId="24" fillId="0" borderId="0" xfId="0" applyNumberFormat="1" applyFont="1" applyFill="1" applyBorder="1" applyAlignment="1">
      <alignment horizontal="center" vertical="center"/>
    </xf>
    <xf numFmtId="0" fontId="28" fillId="0" borderId="8" xfId="0" applyFont="1" applyFill="1" applyBorder="1" applyAlignment="1">
      <alignment horizontal="left" vertical="center"/>
    </xf>
    <xf numFmtId="3" fontId="29" fillId="0" borderId="8" xfId="0" applyNumberFormat="1" applyFont="1" applyFill="1" applyBorder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3" fontId="31" fillId="0" borderId="0" xfId="0" applyNumberFormat="1" applyFont="1" applyFill="1" applyBorder="1" applyAlignment="1">
      <alignment horizontal="center" vertical="center"/>
    </xf>
    <xf numFmtId="49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26" fillId="0" borderId="0" xfId="0" applyFont="1" applyAlignment="1">
      <alignment vertical="center"/>
    </xf>
    <xf numFmtId="3" fontId="25" fillId="0" borderId="0" xfId="0" applyNumberFormat="1" applyFont="1" applyAlignment="1">
      <alignment horizontal="center" vertical="center"/>
    </xf>
    <xf numFmtId="166" fontId="24" fillId="0" borderId="0" xfId="0" applyNumberFormat="1" applyFont="1" applyAlignment="1">
      <alignment vertical="center"/>
    </xf>
    <xf numFmtId="0" fontId="32" fillId="0" borderId="6" xfId="0" applyFont="1" applyBorder="1" applyAlignment="1">
      <alignment vertical="center"/>
    </xf>
    <xf numFmtId="9" fontId="27" fillId="0" borderId="3" xfId="0" applyNumberFormat="1" applyFont="1" applyBorder="1" applyAlignment="1">
      <alignment horizontal="center" vertical="center"/>
    </xf>
    <xf numFmtId="9" fontId="27" fillId="0" borderId="4" xfId="0" applyNumberFormat="1" applyFont="1" applyBorder="1" applyAlignment="1">
      <alignment horizontal="center" vertical="center"/>
    </xf>
    <xf numFmtId="0" fontId="32" fillId="0" borderId="5" xfId="0" applyFont="1" applyBorder="1" applyAlignment="1">
      <alignment vertical="center"/>
    </xf>
    <xf numFmtId="9" fontId="27" fillId="0" borderId="12" xfId="0" applyNumberFormat="1" applyFont="1" applyBorder="1" applyAlignment="1">
      <alignment horizontal="center" vertical="center"/>
    </xf>
    <xf numFmtId="9" fontId="27" fillId="0" borderId="11" xfId="0" applyNumberFormat="1" applyFont="1" applyBorder="1" applyAlignment="1">
      <alignment horizontal="center" vertical="center"/>
    </xf>
    <xf numFmtId="164" fontId="24" fillId="0" borderId="0" xfId="1" applyFont="1" applyFill="1" applyAlignment="1">
      <alignment horizontal="center" vertical="center"/>
    </xf>
    <xf numFmtId="3" fontId="24" fillId="0" borderId="0" xfId="0" applyNumberFormat="1" applyFont="1" applyFill="1" applyAlignment="1">
      <alignment horizontal="center" vertical="center"/>
    </xf>
    <xf numFmtId="0" fontId="32" fillId="0" borderId="0" xfId="0" applyFont="1" applyBorder="1" applyAlignment="1">
      <alignment vertical="center"/>
    </xf>
    <xf numFmtId="0" fontId="24" fillId="0" borderId="0" xfId="0" applyFont="1" applyFill="1" applyBorder="1" applyAlignment="1">
      <alignment vertical="center"/>
    </xf>
    <xf numFmtId="9" fontId="27" fillId="0" borderId="0" xfId="0" applyNumberFormat="1" applyFont="1" applyBorder="1" applyAlignment="1">
      <alignment horizontal="center" vertical="center"/>
    </xf>
    <xf numFmtId="0" fontId="27" fillId="0" borderId="0" xfId="0" applyFont="1" applyFill="1" applyAlignment="1">
      <alignment horizontal="center" vertical="center"/>
    </xf>
    <xf numFmtId="0" fontId="3" fillId="0" borderId="0" xfId="6" applyFont="1" applyAlignment="1">
      <alignment horizontal="left" vertical="center"/>
    </xf>
    <xf numFmtId="0" fontId="3" fillId="0" borderId="0" xfId="6" applyFont="1" applyAlignment="1">
      <alignment vertical="center"/>
    </xf>
    <xf numFmtId="0" fontId="3" fillId="0" borderId="0" xfId="6" applyFont="1" applyAlignment="1">
      <alignment horizontal="center" vertical="center"/>
    </xf>
    <xf numFmtId="0" fontId="5" fillId="0" borderId="0" xfId="6" applyFont="1" applyAlignment="1">
      <alignment horizontal="center" vertical="center"/>
    </xf>
    <xf numFmtId="165" fontId="2" fillId="0" borderId="0" xfId="9" applyNumberFormat="1" applyFont="1" applyAlignment="1">
      <alignment horizontal="left" vertical="center"/>
    </xf>
    <xf numFmtId="0" fontId="2" fillId="0" borderId="0" xfId="6" applyFont="1" applyAlignment="1">
      <alignment horizontal="center" vertical="center"/>
    </xf>
    <xf numFmtId="0" fontId="6" fillId="0" borderId="6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49" fontId="6" fillId="0" borderId="5" xfId="6" applyNumberFormat="1" applyFont="1" applyBorder="1" applyAlignment="1">
      <alignment horizontal="center" vertical="center"/>
    </xf>
    <xf numFmtId="3" fontId="3" fillId="0" borderId="0" xfId="6" applyNumberFormat="1" applyFont="1" applyAlignment="1">
      <alignment horizontal="center" vertical="center"/>
    </xf>
    <xf numFmtId="0" fontId="6" fillId="0" borderId="0" xfId="6" applyFont="1" applyFill="1" applyBorder="1" applyAlignment="1">
      <alignment horizontal="center" vertical="center"/>
    </xf>
    <xf numFmtId="0" fontId="6" fillId="0" borderId="9" xfId="6" applyFont="1" applyBorder="1" applyAlignment="1">
      <alignment horizontal="center" vertical="center"/>
    </xf>
    <xf numFmtId="49" fontId="2" fillId="0" borderId="7" xfId="6" applyNumberFormat="1" applyFont="1" applyBorder="1" applyAlignment="1">
      <alignment horizontal="center" vertical="center"/>
    </xf>
    <xf numFmtId="0" fontId="13" fillId="0" borderId="0" xfId="6" applyFont="1" applyAlignment="1">
      <alignment horizontal="center" vertical="center"/>
    </xf>
    <xf numFmtId="49" fontId="2" fillId="0" borderId="10" xfId="6" applyNumberFormat="1" applyFont="1" applyBorder="1" applyAlignment="1">
      <alignment horizontal="center" vertical="center"/>
    </xf>
    <xf numFmtId="0" fontId="2" fillId="0" borderId="10" xfId="6" applyFont="1" applyBorder="1" applyAlignment="1">
      <alignment horizontal="center" vertical="center"/>
    </xf>
    <xf numFmtId="0" fontId="6" fillId="0" borderId="8" xfId="6" applyFont="1" applyFill="1" applyBorder="1" applyAlignment="1">
      <alignment horizontal="left" vertical="center"/>
    </xf>
    <xf numFmtId="0" fontId="6" fillId="0" borderId="5" xfId="6" applyFont="1" applyFill="1" applyBorder="1" applyAlignment="1">
      <alignment horizontal="left" vertical="center"/>
    </xf>
    <xf numFmtId="3" fontId="11" fillId="0" borderId="8" xfId="10" applyNumberFormat="1" applyFont="1" applyFill="1" applyBorder="1" applyAlignment="1">
      <alignment horizontal="center" vertical="center"/>
    </xf>
    <xf numFmtId="3" fontId="9" fillId="0" borderId="5" xfId="6" applyNumberFormat="1" applyFont="1" applyBorder="1" applyAlignment="1">
      <alignment horizontal="center" vertical="center"/>
    </xf>
    <xf numFmtId="3" fontId="13" fillId="0" borderId="5" xfId="6" applyNumberFormat="1" applyFont="1" applyBorder="1" applyAlignment="1">
      <alignment horizontal="center" vertical="center"/>
    </xf>
    <xf numFmtId="0" fontId="9" fillId="0" borderId="0" xfId="6" applyFont="1" applyAlignment="1">
      <alignment horizontal="center" vertical="center"/>
    </xf>
    <xf numFmtId="0" fontId="2" fillId="0" borderId="5" xfId="6" applyFont="1" applyFill="1" applyBorder="1" applyAlignment="1">
      <alignment horizontal="left" vertical="center"/>
    </xf>
    <xf numFmtId="3" fontId="12" fillId="0" borderId="5" xfId="10" applyNumberFormat="1" applyFont="1" applyFill="1" applyBorder="1" applyAlignment="1">
      <alignment horizontal="center" vertical="center"/>
    </xf>
    <xf numFmtId="3" fontId="3" fillId="0" borderId="5" xfId="6" applyNumberFormat="1" applyFont="1" applyBorder="1" applyAlignment="1">
      <alignment vertical="center"/>
    </xf>
    <xf numFmtId="3" fontId="2" fillId="0" borderId="5" xfId="6" applyNumberFormat="1" applyFont="1" applyBorder="1" applyAlignment="1">
      <alignment vertical="center"/>
    </xf>
    <xf numFmtId="3" fontId="11" fillId="0" borderId="5" xfId="10" applyNumberFormat="1" applyFont="1" applyFill="1" applyBorder="1" applyAlignment="1">
      <alignment horizontal="center" vertical="center"/>
    </xf>
    <xf numFmtId="3" fontId="8" fillId="0" borderId="5" xfId="6" applyNumberFormat="1" applyFont="1" applyBorder="1" applyAlignment="1">
      <alignment vertical="center"/>
    </xf>
    <xf numFmtId="0" fontId="6" fillId="0" borderId="6" xfId="6" applyFont="1" applyFill="1" applyBorder="1" applyAlignment="1">
      <alignment horizontal="left" vertical="center"/>
    </xf>
    <xf numFmtId="3" fontId="11" fillId="0" borderId="6" xfId="10" applyNumberFormat="1" applyFont="1" applyFill="1" applyBorder="1" applyAlignment="1">
      <alignment horizontal="center" vertical="center"/>
    </xf>
    <xf numFmtId="3" fontId="6" fillId="0" borderId="5" xfId="6" applyNumberFormat="1" applyFont="1" applyBorder="1" applyAlignment="1">
      <alignment vertical="center"/>
    </xf>
    <xf numFmtId="0" fontId="8" fillId="0" borderId="0" xfId="6" applyFont="1" applyAlignment="1">
      <alignment vertical="center"/>
    </xf>
    <xf numFmtId="0" fontId="2" fillId="0" borderId="0" xfId="6" applyFont="1" applyFill="1" applyBorder="1" applyAlignment="1">
      <alignment horizontal="left" vertical="center"/>
    </xf>
    <xf numFmtId="3" fontId="3" fillId="0" borderId="0" xfId="6" applyNumberFormat="1" applyFont="1" applyBorder="1" applyAlignment="1">
      <alignment vertical="center"/>
    </xf>
    <xf numFmtId="3" fontId="2" fillId="0" borderId="11" xfId="6" applyNumberFormat="1" applyFont="1" applyBorder="1" applyAlignment="1">
      <alignment vertical="center"/>
    </xf>
    <xf numFmtId="0" fontId="6" fillId="0" borderId="9" xfId="6" applyFont="1" applyFill="1" applyBorder="1" applyAlignment="1">
      <alignment horizontal="left" vertical="center"/>
    </xf>
    <xf numFmtId="0" fontId="6" fillId="0" borderId="0" xfId="6" applyFont="1" applyFill="1" applyBorder="1" applyAlignment="1">
      <alignment horizontal="left" vertical="center"/>
    </xf>
    <xf numFmtId="3" fontId="12" fillId="0" borderId="9" xfId="10" applyNumberFormat="1" applyFont="1" applyFill="1" applyBorder="1" applyAlignment="1">
      <alignment horizontal="center" vertical="center"/>
    </xf>
    <xf numFmtId="0" fontId="6" fillId="0" borderId="11" xfId="6" applyFont="1" applyFill="1" applyBorder="1" applyAlignment="1">
      <alignment horizontal="left" vertical="center"/>
    </xf>
    <xf numFmtId="0" fontId="3" fillId="0" borderId="11" xfId="6" applyFont="1" applyBorder="1" applyAlignment="1">
      <alignment vertical="center"/>
    </xf>
    <xf numFmtId="0" fontId="2" fillId="0" borderId="9" xfId="6" applyFont="1" applyFill="1" applyBorder="1" applyAlignment="1">
      <alignment horizontal="left" vertical="center"/>
    </xf>
    <xf numFmtId="3" fontId="12" fillId="0" borderId="9" xfId="6" applyNumberFormat="1" applyFont="1" applyBorder="1" applyAlignment="1">
      <alignment horizontal="center" vertical="center"/>
    </xf>
    <xf numFmtId="3" fontId="12" fillId="0" borderId="5" xfId="6" applyNumberFormat="1" applyFont="1" applyBorder="1" applyAlignment="1">
      <alignment vertical="center"/>
    </xf>
    <xf numFmtId="0" fontId="2" fillId="0" borderId="5" xfId="6" applyFont="1" applyBorder="1" applyAlignment="1">
      <alignment vertical="center"/>
    </xf>
    <xf numFmtId="0" fontId="6" fillId="0" borderId="9" xfId="10" applyFont="1" applyFill="1" applyBorder="1" applyAlignment="1">
      <alignment vertical="center"/>
    </xf>
    <xf numFmtId="0" fontId="6" fillId="0" borderId="11" xfId="10" applyFont="1" applyFill="1" applyBorder="1" applyAlignment="1">
      <alignment horizontal="center" vertical="center"/>
    </xf>
    <xf numFmtId="3" fontId="11" fillId="0" borderId="9" xfId="10" applyNumberFormat="1" applyFont="1" applyFill="1" applyBorder="1" applyAlignment="1">
      <alignment horizontal="center" vertical="center"/>
    </xf>
    <xf numFmtId="3" fontId="3" fillId="0" borderId="0" xfId="6" applyNumberFormat="1" applyFont="1" applyAlignment="1">
      <alignment vertical="center"/>
    </xf>
    <xf numFmtId="3" fontId="2" fillId="0" borderId="0" xfId="6" applyNumberFormat="1" applyFont="1" applyAlignment="1">
      <alignment vertical="center"/>
    </xf>
    <xf numFmtId="0" fontId="7" fillId="3" borderId="0" xfId="0" applyFont="1" applyFill="1" applyAlignment="1">
      <alignment vertical="center"/>
    </xf>
    <xf numFmtId="164" fontId="12" fillId="0" borderId="0" xfId="1" applyFont="1" applyBorder="1" applyAlignment="1">
      <alignment horizontal="center" vertical="center"/>
    </xf>
    <xf numFmtId="164" fontId="3" fillId="0" borderId="0" xfId="1" applyFont="1" applyFill="1" applyAlignment="1">
      <alignment horizontal="center" vertical="center"/>
    </xf>
    <xf numFmtId="3" fontId="12" fillId="0" borderId="6" xfId="0" applyNumberFormat="1" applyFont="1" applyBorder="1" applyAlignment="1">
      <alignment horizontal="center" vertical="center"/>
    </xf>
    <xf numFmtId="3" fontId="12" fillId="0" borderId="12" xfId="0" applyNumberFormat="1" applyFont="1" applyBorder="1" applyAlignment="1">
      <alignment horizontal="center" vertical="center"/>
    </xf>
    <xf numFmtId="3" fontId="12" fillId="3" borderId="12" xfId="0" applyNumberFormat="1" applyFont="1" applyFill="1" applyBorder="1" applyAlignment="1">
      <alignment horizontal="center" vertical="center"/>
    </xf>
    <xf numFmtId="3" fontId="12" fillId="3" borderId="15" xfId="0" applyNumberFormat="1" applyFont="1" applyFill="1" applyBorder="1" applyAlignment="1">
      <alignment horizontal="center" vertical="center"/>
    </xf>
    <xf numFmtId="3" fontId="12" fillId="3" borderId="9" xfId="0" applyNumberFormat="1" applyFont="1" applyFill="1" applyBorder="1" applyAlignment="1">
      <alignment horizontal="center" vertical="center"/>
    </xf>
    <xf numFmtId="3" fontId="11" fillId="3" borderId="6" xfId="0" applyNumberFormat="1" applyFont="1" applyFill="1" applyBorder="1" applyAlignment="1">
      <alignment horizontal="center" vertical="center"/>
    </xf>
    <xf numFmtId="3" fontId="11" fillId="3" borderId="0" xfId="0" applyNumberFormat="1" applyFont="1" applyFill="1" applyAlignment="1">
      <alignment horizontal="center" vertical="center"/>
    </xf>
    <xf numFmtId="3" fontId="11" fillId="3" borderId="3" xfId="0" applyNumberFormat="1" applyFont="1" applyFill="1" applyBorder="1" applyAlignment="1">
      <alignment horizontal="center" vertical="center"/>
    </xf>
    <xf numFmtId="3" fontId="11" fillId="3" borderId="5" xfId="0" applyNumberFormat="1" applyFont="1" applyFill="1" applyBorder="1" applyAlignment="1">
      <alignment horizontal="center" vertical="center"/>
    </xf>
    <xf numFmtId="3" fontId="11" fillId="3" borderId="8" xfId="0" applyNumberFormat="1" applyFont="1" applyFill="1" applyBorder="1" applyAlignment="1">
      <alignment horizontal="center" vertical="center"/>
    </xf>
    <xf numFmtId="3" fontId="12" fillId="3" borderId="11" xfId="0" applyNumberFormat="1" applyFont="1" applyFill="1" applyBorder="1" applyAlignment="1">
      <alignment horizontal="center" vertical="center"/>
    </xf>
    <xf numFmtId="3" fontId="12" fillId="3" borderId="13" xfId="0" applyNumberFormat="1" applyFont="1" applyFill="1" applyBorder="1" applyAlignment="1">
      <alignment horizontal="center" vertical="center"/>
    </xf>
    <xf numFmtId="3" fontId="12" fillId="3" borderId="0" xfId="0" applyNumberFormat="1" applyFont="1" applyFill="1" applyBorder="1" applyAlignment="1">
      <alignment horizontal="center" vertical="center"/>
    </xf>
    <xf numFmtId="3" fontId="11" fillId="3" borderId="2" xfId="0" applyNumberFormat="1" applyFont="1" applyFill="1" applyBorder="1" applyAlignment="1">
      <alignment horizontal="center" vertical="center"/>
    </xf>
    <xf numFmtId="3" fontId="11" fillId="3" borderId="0" xfId="0" applyNumberFormat="1" applyFont="1" applyFill="1" applyAlignment="1">
      <alignment vertical="center"/>
    </xf>
    <xf numFmtId="3" fontId="12" fillId="0" borderId="9" xfId="0" applyNumberFormat="1" applyFont="1" applyBorder="1" applyAlignment="1">
      <alignment horizontal="center" vertical="center"/>
    </xf>
    <xf numFmtId="1" fontId="12" fillId="0" borderId="6" xfId="0" applyNumberFormat="1" applyFont="1" applyFill="1" applyBorder="1" applyAlignment="1">
      <alignment horizontal="center" vertical="center"/>
    </xf>
    <xf numFmtId="3" fontId="3" fillId="0" borderId="0" xfId="0" quotePrefix="1" applyNumberFormat="1" applyFont="1" applyAlignment="1">
      <alignment horizontal="left" vertical="center"/>
    </xf>
    <xf numFmtId="2" fontId="3" fillId="0" borderId="0" xfId="0" applyNumberFormat="1" applyFont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9" fillId="3" borderId="0" xfId="0" applyFont="1" applyFill="1" applyAlignment="1">
      <alignment horizontal="center" vertical="center"/>
    </xf>
    <xf numFmtId="169" fontId="53" fillId="2" borderId="8" xfId="24" applyNumberFormat="1" applyFont="1" applyFill="1" applyBorder="1" applyAlignment="1">
      <alignment horizontal="center" vertical="center" wrapText="1"/>
    </xf>
    <xf numFmtId="3" fontId="8" fillId="0" borderId="0" xfId="6" applyNumberFormat="1" applyFont="1" applyBorder="1" applyAlignment="1">
      <alignment vertical="center"/>
    </xf>
    <xf numFmtId="164" fontId="8" fillId="2" borderId="9" xfId="24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65" fontId="2" fillId="0" borderId="0" xfId="2" applyNumberFormat="1" applyFont="1" applyAlignment="1">
      <alignment horizontal="left" vertical="center" wrapText="1"/>
    </xf>
    <xf numFmtId="0" fontId="26" fillId="0" borderId="0" xfId="0" applyFont="1" applyAlignment="1">
      <alignment horizontal="center" vertical="center" wrapText="1"/>
    </xf>
    <xf numFmtId="0" fontId="24" fillId="0" borderId="0" xfId="0" applyFont="1" applyAlignment="1">
      <alignment vertical="center" wrapText="1"/>
    </xf>
    <xf numFmtId="0" fontId="26" fillId="0" borderId="5" xfId="0" quotePrefix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66" fontId="7" fillId="0" borderId="0" xfId="0" applyNumberFormat="1" applyFont="1" applyAlignment="1">
      <alignment vertical="center" wrapText="1"/>
    </xf>
    <xf numFmtId="49" fontId="26" fillId="0" borderId="0" xfId="0" applyNumberFormat="1" applyFont="1" applyAlignment="1">
      <alignment horizontal="center" vertical="center" wrapText="1"/>
    </xf>
    <xf numFmtId="49" fontId="26" fillId="0" borderId="5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49" fontId="7" fillId="0" borderId="10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3" fontId="12" fillId="2" borderId="6" xfId="3" applyNumberFormat="1" applyFont="1" applyFill="1" applyBorder="1" applyAlignment="1">
      <alignment horizontal="center" vertical="center" wrapText="1"/>
    </xf>
    <xf numFmtId="3" fontId="12" fillId="0" borderId="6" xfId="0" applyNumberFormat="1" applyFont="1" applyFill="1" applyBorder="1" applyAlignment="1">
      <alignment horizontal="center" vertical="center" wrapText="1"/>
    </xf>
    <xf numFmtId="3" fontId="12" fillId="0" borderId="0" xfId="0" applyNumberFormat="1" applyFont="1" applyFill="1" applyAlignment="1">
      <alignment vertical="center" wrapText="1"/>
    </xf>
    <xf numFmtId="3" fontId="12" fillId="0" borderId="6" xfId="0" applyNumberFormat="1" applyFont="1" applyBorder="1" applyAlignment="1">
      <alignment horizontal="center" vertical="center" wrapText="1"/>
    </xf>
    <xf numFmtId="3" fontId="12" fillId="0" borderId="0" xfId="0" applyNumberFormat="1" applyFont="1" applyAlignment="1">
      <alignment vertical="center" wrapText="1"/>
    </xf>
    <xf numFmtId="3" fontId="12" fillId="0" borderId="0" xfId="0" applyNumberFormat="1" applyFont="1" applyFill="1" applyBorder="1" applyAlignment="1">
      <alignment horizontal="center" vertical="center" wrapText="1"/>
    </xf>
    <xf numFmtId="9" fontId="9" fillId="0" borderId="3" xfId="0" applyNumberFormat="1" applyFont="1" applyBorder="1" applyAlignment="1">
      <alignment horizontal="center" vertical="center" wrapText="1"/>
    </xf>
    <xf numFmtId="9" fontId="9" fillId="0" borderId="10" xfId="0" applyNumberFormat="1" applyFont="1" applyBorder="1" applyAlignment="1">
      <alignment horizontal="center" vertical="center" wrapText="1"/>
    </xf>
    <xf numFmtId="9" fontId="9" fillId="0" borderId="4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3" fontId="12" fillId="0" borderId="5" xfId="0" applyNumberFormat="1" applyFont="1" applyBorder="1" applyAlignment="1">
      <alignment horizontal="center" vertical="center" wrapText="1"/>
    </xf>
    <xf numFmtId="3" fontId="12" fillId="0" borderId="5" xfId="0" applyNumberFormat="1" applyFont="1" applyFill="1" applyBorder="1" applyAlignment="1">
      <alignment horizontal="center" vertical="center" wrapText="1"/>
    </xf>
    <xf numFmtId="9" fontId="9" fillId="0" borderId="12" xfId="0" applyNumberFormat="1" applyFont="1" applyBorder="1" applyAlignment="1">
      <alignment horizontal="center" vertical="center" wrapText="1"/>
    </xf>
    <xf numFmtId="9" fontId="9" fillId="0" borderId="0" xfId="0" applyNumberFormat="1" applyFont="1" applyBorder="1" applyAlignment="1">
      <alignment horizontal="center" vertical="center" wrapText="1"/>
    </xf>
    <xf numFmtId="9" fontId="9" fillId="0" borderId="11" xfId="0" applyNumberFormat="1" applyFont="1" applyBorder="1" applyAlignment="1">
      <alignment horizontal="center" vertical="center" wrapText="1"/>
    </xf>
    <xf numFmtId="9" fontId="9" fillId="0" borderId="13" xfId="0" applyNumberFormat="1" applyFont="1" applyBorder="1" applyAlignment="1">
      <alignment horizontal="center" vertical="center" wrapText="1"/>
    </xf>
    <xf numFmtId="0" fontId="6" fillId="0" borderId="8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vertical="center" wrapText="1"/>
    </xf>
    <xf numFmtId="0" fontId="3" fillId="0" borderId="0" xfId="0" applyFont="1" applyFill="1" applyAlignment="1">
      <alignment horizontal="center" vertical="center" wrapText="1"/>
    </xf>
    <xf numFmtId="3" fontId="11" fillId="0" borderId="8" xfId="0" applyNumberFormat="1" applyFont="1" applyFill="1" applyBorder="1" applyAlignment="1">
      <alignment horizontal="center" vertical="center" wrapText="1"/>
    </xf>
    <xf numFmtId="3" fontId="11" fillId="0" borderId="0" xfId="0" applyNumberFormat="1" applyFont="1" applyFill="1" applyAlignment="1">
      <alignment vertical="center" wrapText="1"/>
    </xf>
    <xf numFmtId="3" fontId="11" fillId="0" borderId="0" xfId="0" applyNumberFormat="1" applyFont="1" applyFill="1" applyBorder="1" applyAlignment="1">
      <alignment horizontal="center" vertical="center" wrapText="1"/>
    </xf>
    <xf numFmtId="0" fontId="8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49" fontId="12" fillId="0" borderId="0" xfId="0" applyNumberFormat="1" applyFont="1" applyFill="1" applyBorder="1" applyAlignment="1">
      <alignment horizontal="center" vertical="center" wrapText="1"/>
    </xf>
    <xf numFmtId="0" fontId="12" fillId="0" borderId="0" xfId="0" applyFont="1" applyFill="1" applyAlignment="1">
      <alignment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center" vertical="center" wrapText="1"/>
    </xf>
    <xf numFmtId="3" fontId="12" fillId="0" borderId="0" xfId="0" applyNumberFormat="1" applyFont="1" applyFill="1" applyAlignment="1">
      <alignment horizontal="center" vertical="center" wrapText="1"/>
    </xf>
    <xf numFmtId="0" fontId="2" fillId="0" borderId="8" xfId="0" applyFont="1" applyFill="1" applyBorder="1" applyAlignment="1">
      <alignment horizontal="left" vertical="center" wrapText="1"/>
    </xf>
    <xf numFmtId="10" fontId="12" fillId="0" borderId="8" xfId="2" applyNumberFormat="1" applyFont="1" applyFill="1" applyBorder="1" applyAlignment="1">
      <alignment horizontal="center" vertical="center" wrapText="1"/>
    </xf>
    <xf numFmtId="10" fontId="3" fillId="0" borderId="0" xfId="0" applyNumberFormat="1" applyFont="1" applyFill="1" applyAlignment="1">
      <alignment horizontal="center" vertical="center" wrapText="1"/>
    </xf>
    <xf numFmtId="10" fontId="12" fillId="0" borderId="0" xfId="0" applyNumberFormat="1" applyFont="1" applyFill="1" applyBorder="1" applyAlignment="1">
      <alignment horizontal="center" vertical="center" wrapText="1"/>
    </xf>
    <xf numFmtId="0" fontId="12" fillId="0" borderId="0" xfId="0" applyNumberFormat="1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8" fillId="0" borderId="5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horizontal="left" vertical="center" wrapText="1"/>
    </xf>
    <xf numFmtId="3" fontId="11" fillId="0" borderId="1" xfId="0" applyNumberFormat="1" applyFont="1" applyFill="1" applyBorder="1" applyAlignment="1">
      <alignment horizontal="center" vertical="center" wrapText="1"/>
    </xf>
    <xf numFmtId="3" fontId="8" fillId="0" borderId="11" xfId="0" applyNumberFormat="1" applyFont="1" applyFill="1" applyBorder="1" applyAlignment="1">
      <alignment horizontal="center" vertical="center" wrapText="1"/>
    </xf>
    <xf numFmtId="0" fontId="24" fillId="0" borderId="0" xfId="0" applyFont="1" applyAlignment="1">
      <alignment horizontal="left" vertical="center" wrapText="1"/>
    </xf>
    <xf numFmtId="0" fontId="24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165" fontId="24" fillId="0" borderId="0" xfId="2" applyNumberFormat="1" applyFont="1" applyAlignment="1">
      <alignment horizontal="left" vertical="center" wrapText="1"/>
    </xf>
    <xf numFmtId="49" fontId="24" fillId="0" borderId="10" xfId="0" applyNumberFormat="1" applyFont="1" applyBorder="1" applyAlignment="1">
      <alignment horizontal="center" vertical="center" wrapText="1"/>
    </xf>
    <xf numFmtId="49" fontId="24" fillId="0" borderId="0" xfId="0" applyNumberFormat="1" applyFont="1" applyAlignment="1">
      <alignment horizontal="center" vertical="center" wrapText="1"/>
    </xf>
    <xf numFmtId="49" fontId="24" fillId="0" borderId="0" xfId="0" applyNumberFormat="1" applyFont="1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8" fillId="0" borderId="6" xfId="0" applyFont="1" applyFill="1" applyBorder="1" applyAlignment="1">
      <alignment horizontal="left" vertical="center" wrapText="1"/>
    </xf>
    <xf numFmtId="0" fontId="24" fillId="0" borderId="0" xfId="0" applyFont="1" applyFill="1" applyAlignment="1">
      <alignment vertical="center" wrapText="1"/>
    </xf>
    <xf numFmtId="3" fontId="29" fillId="0" borderId="6" xfId="0" applyNumberFormat="1" applyFont="1" applyFill="1" applyBorder="1" applyAlignment="1">
      <alignment horizontal="center" vertical="center" wrapText="1"/>
    </xf>
    <xf numFmtId="3" fontId="26" fillId="0" borderId="0" xfId="0" applyNumberFormat="1" applyFont="1" applyFill="1" applyBorder="1" applyAlignment="1">
      <alignment horizontal="center" vertical="center" wrapText="1"/>
    </xf>
    <xf numFmtId="0" fontId="30" fillId="0" borderId="5" xfId="0" applyFont="1" applyFill="1" applyBorder="1" applyAlignment="1">
      <alignment horizontal="right" vertical="center" wrapText="1"/>
    </xf>
    <xf numFmtId="0" fontId="26" fillId="0" borderId="0" xfId="0" applyFont="1" applyFill="1" applyAlignment="1">
      <alignment vertical="center" wrapText="1"/>
    </xf>
    <xf numFmtId="3" fontId="12" fillId="3" borderId="12" xfId="0" applyNumberFormat="1" applyFont="1" applyFill="1" applyBorder="1" applyAlignment="1">
      <alignment horizontal="center" vertical="center" wrapText="1"/>
    </xf>
    <xf numFmtId="3" fontId="12" fillId="3" borderId="5" xfId="0" applyNumberFormat="1" applyFont="1" applyFill="1" applyBorder="1" applyAlignment="1">
      <alignment horizontal="center" vertical="center" wrapText="1"/>
    </xf>
    <xf numFmtId="3" fontId="24" fillId="0" borderId="0" xfId="0" applyNumberFormat="1" applyFont="1" applyFill="1" applyBorder="1" applyAlignment="1">
      <alignment horizontal="center" vertical="center" wrapText="1"/>
    </xf>
    <xf numFmtId="9" fontId="27" fillId="0" borderId="12" xfId="0" applyNumberFormat="1" applyFont="1" applyFill="1" applyBorder="1" applyAlignment="1">
      <alignment horizontal="center" vertical="center" wrapText="1"/>
    </xf>
    <xf numFmtId="9" fontId="27" fillId="0" borderId="11" xfId="0" applyNumberFormat="1" applyFont="1" applyFill="1" applyBorder="1" applyAlignment="1">
      <alignment horizontal="center" vertical="center" wrapText="1"/>
    </xf>
    <xf numFmtId="0" fontId="30" fillId="0" borderId="9" xfId="0" applyFont="1" applyFill="1" applyBorder="1" applyAlignment="1">
      <alignment horizontal="right" vertical="center" wrapText="1"/>
    </xf>
    <xf numFmtId="3" fontId="12" fillId="3" borderId="15" xfId="0" applyNumberFormat="1" applyFont="1" applyFill="1" applyBorder="1" applyAlignment="1">
      <alignment horizontal="center" vertical="center" wrapText="1"/>
    </xf>
    <xf numFmtId="3" fontId="12" fillId="3" borderId="9" xfId="0" applyNumberFormat="1" applyFont="1" applyFill="1" applyBorder="1" applyAlignment="1">
      <alignment horizontal="center" vertical="center" wrapText="1"/>
    </xf>
    <xf numFmtId="9" fontId="27" fillId="0" borderId="15" xfId="0" applyNumberFormat="1" applyFont="1" applyFill="1" applyBorder="1" applyAlignment="1">
      <alignment horizontal="center" vertical="center" wrapText="1"/>
    </xf>
    <xf numFmtId="9" fontId="27" fillId="0" borderId="13" xfId="0" applyNumberFormat="1" applyFont="1" applyFill="1" applyBorder="1" applyAlignment="1">
      <alignment horizontal="center" vertical="center" wrapText="1"/>
    </xf>
    <xf numFmtId="3" fontId="11" fillId="3" borderId="6" xfId="0" applyNumberFormat="1" applyFont="1" applyFill="1" applyBorder="1" applyAlignment="1">
      <alignment horizontal="center" vertical="center" wrapText="1"/>
    </xf>
    <xf numFmtId="3" fontId="11" fillId="3" borderId="3" xfId="0" applyNumberFormat="1" applyFont="1" applyFill="1" applyBorder="1" applyAlignment="1">
      <alignment horizontal="center" vertical="center" wrapText="1"/>
    </xf>
    <xf numFmtId="3" fontId="11" fillId="3" borderId="5" xfId="0" applyNumberFormat="1" applyFont="1" applyFill="1" applyBorder="1" applyAlignment="1">
      <alignment horizontal="center" vertical="center" wrapText="1"/>
    </xf>
    <xf numFmtId="3" fontId="11" fillId="3" borderId="8" xfId="0" applyNumberFormat="1" applyFont="1" applyFill="1" applyBorder="1" applyAlignment="1">
      <alignment horizontal="center" vertical="center" wrapText="1"/>
    </xf>
    <xf numFmtId="0" fontId="32" fillId="0" borderId="0" xfId="0" applyFont="1" applyFill="1" applyAlignment="1">
      <alignment horizontal="center" vertical="center" wrapText="1"/>
    </xf>
    <xf numFmtId="0" fontId="24" fillId="0" borderId="0" xfId="0" applyFont="1" applyFill="1" applyAlignment="1">
      <alignment horizontal="center" vertical="center" wrapText="1"/>
    </xf>
    <xf numFmtId="3" fontId="31" fillId="0" borderId="0" xfId="0" applyNumberFormat="1" applyFont="1" applyFill="1" applyBorder="1" applyAlignment="1">
      <alignment horizontal="center" vertical="center" wrapText="1"/>
    </xf>
    <xf numFmtId="49" fontId="24" fillId="0" borderId="0" xfId="0" applyNumberFormat="1" applyFont="1" applyFill="1" applyBorder="1" applyAlignment="1">
      <alignment horizontal="center" vertical="center" wrapText="1"/>
    </xf>
    <xf numFmtId="3" fontId="31" fillId="0" borderId="5" xfId="0" applyNumberFormat="1" applyFont="1" applyFill="1" applyBorder="1" applyAlignment="1">
      <alignment horizontal="center" vertical="center" wrapText="1"/>
    </xf>
    <xf numFmtId="3" fontId="31" fillId="0" borderId="9" xfId="0" applyNumberFormat="1" applyFont="1" applyFill="1" applyBorder="1" applyAlignment="1">
      <alignment horizontal="center" vertical="center" wrapText="1"/>
    </xf>
    <xf numFmtId="0" fontId="24" fillId="0" borderId="0" xfId="0" applyFont="1" applyFill="1" applyAlignment="1">
      <alignment horizontal="left" vertical="center" wrapText="1"/>
    </xf>
    <xf numFmtId="164" fontId="24" fillId="0" borderId="0" xfId="1" applyFont="1" applyFill="1" applyAlignment="1">
      <alignment horizontal="center" vertical="center" wrapText="1"/>
    </xf>
    <xf numFmtId="3" fontId="24" fillId="0" borderId="0" xfId="0" applyNumberFormat="1" applyFont="1" applyAlignment="1">
      <alignment horizontal="center" vertical="center" wrapText="1"/>
    </xf>
    <xf numFmtId="3" fontId="24" fillId="0" borderId="0" xfId="0" applyNumberFormat="1" applyFont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3" fontId="5" fillId="0" borderId="0" xfId="0" applyNumberFormat="1" applyFont="1" applyAlignment="1">
      <alignment horizontal="center" vertical="center" wrapText="1"/>
    </xf>
    <xf numFmtId="165" fontId="7" fillId="0" borderId="0" xfId="2" applyNumberFormat="1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1" fillId="0" borderId="8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49" fontId="7" fillId="0" borderId="0" xfId="0" applyNumberFormat="1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9" fontId="3" fillId="0" borderId="3" xfId="0" applyNumberFormat="1" applyFont="1" applyBorder="1" applyAlignment="1">
      <alignment horizontal="center" vertical="center" wrapText="1"/>
    </xf>
    <xf numFmtId="9" fontId="3" fillId="0" borderId="10" xfId="0" applyNumberFormat="1" applyFont="1" applyBorder="1" applyAlignment="1">
      <alignment horizontal="center" vertical="center" wrapText="1"/>
    </xf>
    <xf numFmtId="9" fontId="3" fillId="0" borderId="12" xfId="0" applyNumberFormat="1" applyFont="1" applyBorder="1" applyAlignment="1">
      <alignment horizontal="center" vertical="center" wrapText="1"/>
    </xf>
    <xf numFmtId="9" fontId="3" fillId="0" borderId="0" xfId="0" applyNumberFormat="1" applyFont="1" applyBorder="1" applyAlignment="1">
      <alignment horizontal="center" vertical="center" wrapText="1"/>
    </xf>
    <xf numFmtId="0" fontId="6" fillId="0" borderId="8" xfId="0" applyFont="1" applyBorder="1" applyAlignment="1">
      <alignment horizontal="left" vertical="center" wrapText="1"/>
    </xf>
    <xf numFmtId="3" fontId="11" fillId="0" borderId="8" xfId="0" applyNumberFormat="1" applyFont="1" applyBorder="1" applyAlignment="1">
      <alignment horizontal="center" vertical="center" wrapText="1"/>
    </xf>
    <xf numFmtId="3" fontId="11" fillId="0" borderId="5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164" fontId="7" fillId="0" borderId="0" xfId="1" applyFont="1" applyAlignment="1">
      <alignment horizontal="center" vertical="center" wrapText="1"/>
    </xf>
    <xf numFmtId="4" fontId="7" fillId="0" borderId="0" xfId="0" applyNumberFormat="1" applyFont="1" applyAlignment="1">
      <alignment horizontal="center" vertical="center" wrapText="1"/>
    </xf>
    <xf numFmtId="3" fontId="12" fillId="0" borderId="3" xfId="0" applyNumberFormat="1" applyFont="1" applyBorder="1" applyAlignment="1">
      <alignment horizontal="center" vertical="center" wrapText="1"/>
    </xf>
    <xf numFmtId="3" fontId="31" fillId="0" borderId="4" xfId="0" applyNumberFormat="1" applyFont="1" applyFill="1" applyBorder="1" applyAlignment="1">
      <alignment horizontal="center" vertical="center" wrapText="1"/>
    </xf>
    <xf numFmtId="9" fontId="3" fillId="0" borderId="4" xfId="0" applyNumberFormat="1" applyFont="1" applyBorder="1" applyAlignment="1">
      <alignment horizontal="center" vertical="center" wrapText="1"/>
    </xf>
    <xf numFmtId="3" fontId="12" fillId="0" borderId="12" xfId="0" applyNumberFormat="1" applyFont="1" applyBorder="1" applyAlignment="1">
      <alignment horizontal="center" vertical="center" wrapText="1"/>
    </xf>
    <xf numFmtId="3" fontId="31" fillId="0" borderId="11" xfId="0" applyNumberFormat="1" applyFont="1" applyFill="1" applyBorder="1" applyAlignment="1">
      <alignment horizontal="center" vertical="center" wrapText="1"/>
    </xf>
    <xf numFmtId="9" fontId="3" fillId="0" borderId="11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vertical="center" wrapText="1"/>
    </xf>
    <xf numFmtId="168" fontId="12" fillId="0" borderId="0" xfId="0" applyNumberFormat="1" applyFont="1" applyFill="1" applyBorder="1" applyAlignment="1">
      <alignment horizontal="center" vertical="center" wrapText="1"/>
    </xf>
    <xf numFmtId="3" fontId="11" fillId="0" borderId="0" xfId="0" applyNumberFormat="1" applyFont="1" applyAlignment="1">
      <alignment horizontal="center" vertical="center" wrapText="1"/>
    </xf>
    <xf numFmtId="4" fontId="4" fillId="0" borderId="0" xfId="0" applyNumberFormat="1" applyFont="1" applyAlignment="1">
      <alignment horizontal="center" vertical="center" wrapText="1"/>
    </xf>
    <xf numFmtId="0" fontId="56" fillId="3" borderId="0" xfId="0" applyFont="1" applyFill="1"/>
    <xf numFmtId="0" fontId="3" fillId="3" borderId="0" xfId="0" applyFont="1" applyFill="1"/>
    <xf numFmtId="0" fontId="0" fillId="3" borderId="0" xfId="0" applyFill="1"/>
    <xf numFmtId="0" fontId="20" fillId="3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0" fillId="3" borderId="0" xfId="0" applyFill="1" applyBorder="1"/>
    <xf numFmtId="0" fontId="3" fillId="3" borderId="0" xfId="0" applyFont="1" applyFill="1" applyBorder="1"/>
    <xf numFmtId="0" fontId="11" fillId="3" borderId="0" xfId="0" applyFont="1" applyFill="1" applyAlignment="1">
      <alignment horizontal="center" vertical="center"/>
    </xf>
    <xf numFmtId="0" fontId="3" fillId="19" borderId="0" xfId="0" applyFont="1" applyFill="1"/>
    <xf numFmtId="0" fontId="11" fillId="19" borderId="0" xfId="0" applyFont="1" applyFill="1" applyAlignment="1">
      <alignment horizontal="center" vertical="center"/>
    </xf>
    <xf numFmtId="0" fontId="21" fillId="3" borderId="0" xfId="0" applyFont="1" applyFill="1"/>
    <xf numFmtId="0" fontId="22" fillId="3" borderId="0" xfId="0" applyFont="1" applyFill="1" applyAlignment="1">
      <alignment horizontal="center" vertical="center"/>
    </xf>
    <xf numFmtId="0" fontId="21" fillId="19" borderId="0" xfId="0" applyFont="1" applyFill="1"/>
    <xf numFmtId="0" fontId="22" fillId="19" borderId="0" xfId="0" applyFont="1" applyFill="1" applyAlignment="1">
      <alignment horizontal="center" vertical="center"/>
    </xf>
    <xf numFmtId="17" fontId="20" fillId="3" borderId="0" xfId="0" applyNumberFormat="1" applyFont="1" applyFill="1" applyAlignment="1"/>
    <xf numFmtId="0" fontId="9" fillId="3" borderId="0" xfId="0" applyFont="1" applyFill="1"/>
    <xf numFmtId="0" fontId="55" fillId="3" borderId="0" xfId="0" applyFont="1" applyFill="1"/>
    <xf numFmtId="20" fontId="0" fillId="3" borderId="0" xfId="0" applyNumberFormat="1" applyFill="1"/>
    <xf numFmtId="20" fontId="2" fillId="0" borderId="0" xfId="6" applyNumberFormat="1" applyFont="1" applyAlignment="1">
      <alignment horizontal="center" vertical="center"/>
    </xf>
    <xf numFmtId="20" fontId="7" fillId="0" borderId="0" xfId="0" applyNumberFormat="1" applyFont="1" applyAlignment="1">
      <alignment horizontal="center" vertical="center" wrapText="1"/>
    </xf>
    <xf numFmtId="20" fontId="24" fillId="0" borderId="0" xfId="0" applyNumberFormat="1" applyFont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20" fontId="24" fillId="0" borderId="0" xfId="0" applyNumberFormat="1" applyFont="1" applyAlignment="1">
      <alignment horizontal="center" vertical="center" wrapText="1"/>
    </xf>
    <xf numFmtId="20" fontId="7" fillId="0" borderId="0" xfId="0" applyNumberFormat="1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3" borderId="0" xfId="1268" applyFont="1" applyFill="1" applyBorder="1" applyAlignment="1">
      <alignment horizontal="left" vertical="center" indent="1"/>
    </xf>
    <xf numFmtId="0" fontId="37" fillId="3" borderId="0" xfId="1268" applyFont="1" applyFill="1" applyAlignment="1">
      <alignment horizontal="left" vertical="center"/>
    </xf>
    <xf numFmtId="0" fontId="57" fillId="3" borderId="0" xfId="1268" applyFont="1" applyFill="1" applyAlignment="1">
      <alignment horizontal="center" vertical="center"/>
    </xf>
    <xf numFmtId="0" fontId="2" fillId="3" borderId="6" xfId="1268" applyFont="1" applyFill="1" applyBorder="1" applyAlignment="1">
      <alignment horizontal="left" vertical="center" indent="1"/>
    </xf>
    <xf numFmtId="0" fontId="2" fillId="3" borderId="5" xfId="1268" applyFont="1" applyFill="1" applyBorder="1" applyAlignment="1">
      <alignment horizontal="left" vertical="center" indent="1"/>
    </xf>
    <xf numFmtId="0" fontId="2" fillId="3" borderId="9" xfId="1268" applyFont="1" applyFill="1" applyBorder="1" applyAlignment="1">
      <alignment horizontal="left" vertical="center" indent="1"/>
    </xf>
    <xf numFmtId="0" fontId="2" fillId="3" borderId="0" xfId="1268" applyFont="1" applyFill="1" applyBorder="1" applyAlignment="1">
      <alignment horizontal="left" vertical="center"/>
    </xf>
    <xf numFmtId="0" fontId="3" fillId="3" borderId="0" xfId="1268" applyFont="1" applyFill="1" applyBorder="1" applyAlignment="1">
      <alignment horizontal="center" vertical="center"/>
    </xf>
    <xf numFmtId="0" fontId="2" fillId="3" borderId="8" xfId="1268" applyFont="1" applyFill="1" applyBorder="1" applyAlignment="1">
      <alignment horizontal="left" vertical="center" indent="1"/>
    </xf>
    <xf numFmtId="0" fontId="3" fillId="3" borderId="8" xfId="1268" applyFont="1" applyFill="1" applyBorder="1" applyAlignment="1">
      <alignment horizontal="center" vertical="center"/>
    </xf>
    <xf numFmtId="0" fontId="6" fillId="3" borderId="0" xfId="1268" applyFont="1" applyFill="1" applyBorder="1" applyAlignment="1">
      <alignment vertical="center"/>
    </xf>
    <xf numFmtId="0" fontId="6" fillId="3" borderId="0" xfId="1268" quotePrefix="1" applyFont="1" applyFill="1" applyBorder="1" applyAlignment="1">
      <alignment horizontal="left" vertical="center" indent="1"/>
    </xf>
    <xf numFmtId="0" fontId="3" fillId="3" borderId="0" xfId="1268" applyFont="1" applyFill="1" applyBorder="1" applyAlignment="1">
      <alignment vertical="center"/>
    </xf>
    <xf numFmtId="0" fontId="2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65" fontId="2" fillId="3" borderId="0" xfId="2" applyNumberFormat="1" applyFont="1" applyFill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166" fontId="3" fillId="3" borderId="0" xfId="0" applyNumberFormat="1" applyFont="1" applyFill="1" applyAlignment="1">
      <alignment vertical="center"/>
    </xf>
    <xf numFmtId="49" fontId="3" fillId="3" borderId="0" xfId="1744" applyNumberFormat="1" applyFont="1" applyFill="1" applyBorder="1" applyAlignment="1">
      <alignment horizontal="center" vertical="center"/>
    </xf>
    <xf numFmtId="49" fontId="3" fillId="3" borderId="10" xfId="1744" applyNumberFormat="1" applyFont="1" applyFill="1" applyBorder="1" applyAlignment="1">
      <alignment horizontal="center" vertical="center"/>
    </xf>
    <xf numFmtId="49" fontId="3" fillId="3" borderId="0" xfId="1744" applyNumberFormat="1" applyFont="1" applyFill="1" applyAlignment="1">
      <alignment horizontal="center" vertical="center"/>
    </xf>
    <xf numFmtId="0" fontId="3" fillId="3" borderId="0" xfId="1744" applyFont="1" applyFill="1" applyAlignment="1">
      <alignment horizontal="center" vertical="center"/>
    </xf>
    <xf numFmtId="0" fontId="3" fillId="3" borderId="0" xfId="1744" applyFont="1" applyFill="1" applyBorder="1" applyAlignment="1">
      <alignment horizontal="center" vertical="center"/>
    </xf>
    <xf numFmtId="0" fontId="8" fillId="3" borderId="0" xfId="0" applyFont="1" applyFill="1" applyAlignment="1">
      <alignment vertical="center"/>
    </xf>
    <xf numFmtId="3" fontId="12" fillId="3" borderId="6" xfId="0" applyNumberFormat="1" applyFont="1" applyFill="1" applyBorder="1" applyAlignment="1">
      <alignment horizontal="center" vertical="center"/>
    </xf>
    <xf numFmtId="9" fontId="9" fillId="3" borderId="3" xfId="0" applyNumberFormat="1" applyFont="1" applyFill="1" applyBorder="1" applyAlignment="1">
      <alignment horizontal="center" vertical="center"/>
    </xf>
    <xf numFmtId="9" fontId="9" fillId="3" borderId="10" xfId="0" applyNumberFormat="1" applyFont="1" applyFill="1" applyBorder="1" applyAlignment="1">
      <alignment horizontal="center" vertical="center"/>
    </xf>
    <xf numFmtId="9" fontId="9" fillId="3" borderId="4" xfId="0" applyNumberFormat="1" applyFont="1" applyFill="1" applyBorder="1" applyAlignment="1">
      <alignment horizontal="center" vertical="center"/>
    </xf>
    <xf numFmtId="9" fontId="9" fillId="3" borderId="12" xfId="0" applyNumberFormat="1" applyFont="1" applyFill="1" applyBorder="1" applyAlignment="1">
      <alignment horizontal="center" vertical="center"/>
    </xf>
    <xf numFmtId="9" fontId="9" fillId="3" borderId="0" xfId="0" applyNumberFormat="1" applyFont="1" applyFill="1" applyBorder="1" applyAlignment="1">
      <alignment horizontal="center" vertical="center"/>
    </xf>
    <xf numFmtId="9" fontId="9" fillId="3" borderId="11" xfId="0" applyNumberFormat="1" applyFont="1" applyFill="1" applyBorder="1" applyAlignment="1">
      <alignment horizontal="center" vertical="center"/>
    </xf>
    <xf numFmtId="9" fontId="9" fillId="3" borderId="15" xfId="0" applyNumberFormat="1" applyFont="1" applyFill="1" applyBorder="1" applyAlignment="1">
      <alignment horizontal="center" vertical="center"/>
    </xf>
    <xf numFmtId="9" fontId="9" fillId="3" borderId="14" xfId="0" applyNumberFormat="1" applyFont="1" applyFill="1" applyBorder="1" applyAlignment="1">
      <alignment horizontal="center" vertical="center"/>
    </xf>
    <xf numFmtId="9" fontId="9" fillId="3" borderId="13" xfId="0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9" fontId="8" fillId="3" borderId="0" xfId="2" applyFont="1" applyFill="1" applyBorder="1" applyAlignment="1">
      <alignment horizontal="center" vertical="center"/>
    </xf>
    <xf numFmtId="3" fontId="12" fillId="3" borderId="8" xfId="0" applyNumberFormat="1" applyFont="1" applyFill="1" applyBorder="1" applyAlignment="1">
      <alignment horizontal="center" vertical="center"/>
    </xf>
    <xf numFmtId="9" fontId="9" fillId="3" borderId="1" xfId="0" applyNumberFormat="1" applyFont="1" applyFill="1" applyBorder="1" applyAlignment="1">
      <alignment horizontal="center" vertical="center"/>
    </xf>
    <xf numFmtId="9" fontId="9" fillId="3" borderId="7" xfId="0" applyNumberFormat="1" applyFont="1" applyFill="1" applyBorder="1" applyAlignment="1">
      <alignment horizontal="center" vertical="center"/>
    </xf>
    <xf numFmtId="9" fontId="9" fillId="3" borderId="2" xfId="0" applyNumberFormat="1" applyFont="1" applyFill="1" applyBorder="1" applyAlignment="1">
      <alignment horizontal="center" vertical="center"/>
    </xf>
    <xf numFmtId="10" fontId="12" fillId="3" borderId="0" xfId="2" applyNumberFormat="1" applyFont="1" applyFill="1" applyBorder="1" applyAlignment="1">
      <alignment horizontal="center" vertical="center"/>
    </xf>
    <xf numFmtId="164" fontId="3" fillId="3" borderId="0" xfId="1" applyFont="1" applyFill="1" applyBorder="1" applyAlignment="1">
      <alignment horizontal="center" vertical="center"/>
    </xf>
    <xf numFmtId="0" fontId="3" fillId="3" borderId="0" xfId="0" applyFont="1" applyFill="1" applyBorder="1" applyAlignment="1">
      <alignment vertical="center"/>
    </xf>
    <xf numFmtId="9" fontId="9" fillId="0" borderId="15" xfId="0" applyNumberFormat="1" applyFont="1" applyBorder="1" applyAlignment="1">
      <alignment horizontal="center" vertical="center" wrapText="1"/>
    </xf>
    <xf numFmtId="9" fontId="9" fillId="0" borderId="14" xfId="0" applyNumberFormat="1" applyFont="1" applyBorder="1" applyAlignment="1">
      <alignment horizontal="center" vertical="center" wrapText="1"/>
    </xf>
    <xf numFmtId="9" fontId="9" fillId="0" borderId="1" xfId="0" applyNumberFormat="1" applyFont="1" applyBorder="1" applyAlignment="1">
      <alignment horizontal="center" vertical="center" wrapText="1"/>
    </xf>
    <xf numFmtId="9" fontId="9" fillId="0" borderId="7" xfId="0" applyNumberFormat="1" applyFont="1" applyBorder="1" applyAlignment="1">
      <alignment horizontal="center" vertical="center" wrapText="1"/>
    </xf>
    <xf numFmtId="9" fontId="9" fillId="0" borderId="2" xfId="0" applyNumberFormat="1" applyFont="1" applyBorder="1" applyAlignment="1">
      <alignment horizontal="center" vertical="center" wrapText="1"/>
    </xf>
    <xf numFmtId="9" fontId="9" fillId="0" borderId="7" xfId="0" applyNumberFormat="1" applyFont="1" applyBorder="1" applyAlignment="1">
      <alignment horizontal="center" vertical="center"/>
    </xf>
    <xf numFmtId="9" fontId="9" fillId="0" borderId="1" xfId="0" applyNumberFormat="1" applyFont="1" applyBorder="1" applyAlignment="1">
      <alignment horizontal="center" vertical="center"/>
    </xf>
    <xf numFmtId="9" fontId="9" fillId="0" borderId="2" xfId="0" applyNumberFormat="1" applyFont="1" applyBorder="1" applyAlignment="1">
      <alignment horizontal="center" vertical="center"/>
    </xf>
    <xf numFmtId="9" fontId="8" fillId="3" borderId="14" xfId="2" applyFont="1" applyFill="1" applyBorder="1" applyAlignment="1">
      <alignment horizontal="center" vertical="center"/>
    </xf>
    <xf numFmtId="9" fontId="27" fillId="0" borderId="10" xfId="0" applyNumberFormat="1" applyFont="1" applyBorder="1" applyAlignment="1">
      <alignment horizontal="center" vertical="center"/>
    </xf>
    <xf numFmtId="9" fontId="27" fillId="0" borderId="14" xfId="0" applyNumberFormat="1" applyFont="1" applyBorder="1" applyAlignment="1">
      <alignment horizontal="center" vertical="center"/>
    </xf>
    <xf numFmtId="9" fontId="27" fillId="0" borderId="15" xfId="0" applyNumberFormat="1" applyFont="1" applyBorder="1" applyAlignment="1">
      <alignment horizontal="center" vertical="center"/>
    </xf>
    <xf numFmtId="9" fontId="27" fillId="0" borderId="13" xfId="0" applyNumberFormat="1" applyFont="1" applyBorder="1" applyAlignment="1">
      <alignment horizontal="center" vertical="center"/>
    </xf>
    <xf numFmtId="9" fontId="3" fillId="0" borderId="15" xfId="0" applyNumberFormat="1" applyFont="1" applyBorder="1" applyAlignment="1">
      <alignment horizontal="center" vertical="center" wrapText="1"/>
    </xf>
    <xf numFmtId="9" fontId="3" fillId="0" borderId="14" xfId="0" applyNumberFormat="1" applyFont="1" applyBorder="1" applyAlignment="1">
      <alignment horizontal="center" vertical="center" wrapText="1"/>
    </xf>
    <xf numFmtId="9" fontId="3" fillId="0" borderId="13" xfId="0" applyNumberFormat="1" applyFont="1" applyBorder="1" applyAlignment="1">
      <alignment horizontal="center" vertical="center" wrapText="1"/>
    </xf>
    <xf numFmtId="189" fontId="12" fillId="0" borderId="9" xfId="0" applyNumberFormat="1" applyFont="1" applyFill="1" applyBorder="1" applyAlignment="1">
      <alignment horizontal="center" vertical="center"/>
    </xf>
    <xf numFmtId="189" fontId="11" fillId="0" borderId="8" xfId="0" applyNumberFormat="1" applyFont="1" applyFill="1" applyBorder="1" applyAlignment="1">
      <alignment horizontal="center" vertical="center"/>
    </xf>
    <xf numFmtId="189" fontId="12" fillId="0" borderId="0" xfId="0" applyNumberFormat="1" applyFont="1" applyFill="1" applyAlignment="1">
      <alignment vertical="center"/>
    </xf>
    <xf numFmtId="189" fontId="12" fillId="0" borderId="0" xfId="0" applyNumberFormat="1" applyFont="1" applyFill="1" applyBorder="1" applyAlignment="1">
      <alignment horizontal="center" vertical="center"/>
    </xf>
    <xf numFmtId="189" fontId="11" fillId="0" borderId="0" xfId="0" applyNumberFormat="1" applyFont="1" applyFill="1" applyBorder="1" applyAlignment="1">
      <alignment horizontal="center" vertical="center"/>
    </xf>
    <xf numFmtId="17" fontId="0" fillId="3" borderId="0" xfId="0" applyNumberFormat="1" applyFill="1"/>
    <xf numFmtId="164" fontId="3" fillId="0" borderId="0" xfId="1" applyFont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vertical="center" wrapText="1"/>
    </xf>
    <xf numFmtId="0" fontId="3" fillId="3" borderId="0" xfId="0" applyFont="1" applyFill="1" applyAlignment="1">
      <alignment horizontal="left" vertical="center"/>
    </xf>
    <xf numFmtId="0" fontId="24" fillId="3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left" vertical="center" wrapText="1"/>
    </xf>
    <xf numFmtId="0" fontId="3" fillId="3" borderId="0" xfId="6" applyFont="1" applyFill="1" applyAlignment="1">
      <alignment horizontal="left" vertical="center"/>
    </xf>
    <xf numFmtId="164" fontId="7" fillId="0" borderId="0" xfId="0" applyNumberFormat="1" applyFont="1" applyAlignment="1">
      <alignment horizontal="center" vertical="center" wrapText="1"/>
    </xf>
    <xf numFmtId="1" fontId="12" fillId="3" borderId="8" xfId="0" applyNumberFormat="1" applyFont="1" applyFill="1" applyBorder="1" applyAlignment="1">
      <alignment horizontal="center" vertical="center"/>
    </xf>
    <xf numFmtId="164" fontId="5" fillId="0" borderId="0" xfId="1" applyFont="1" applyAlignment="1">
      <alignment vertical="center"/>
    </xf>
    <xf numFmtId="164" fontId="3" fillId="3" borderId="0" xfId="1" applyFont="1" applyFill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164" fontId="5" fillId="0" borderId="0" xfId="1" applyFont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9" fontId="3" fillId="3" borderId="4" xfId="2" applyFont="1" applyFill="1" applyBorder="1" applyAlignment="1">
      <alignment horizontal="center" vertical="center"/>
    </xf>
    <xf numFmtId="9" fontId="3" fillId="3" borderId="11" xfId="2" applyFont="1" applyFill="1" applyBorder="1" applyAlignment="1">
      <alignment horizontal="center" vertical="center"/>
    </xf>
    <xf numFmtId="9" fontId="3" fillId="3" borderId="13" xfId="2" applyFont="1" applyFill="1" applyBorder="1" applyAlignment="1">
      <alignment horizontal="center" vertical="center"/>
    </xf>
    <xf numFmtId="9" fontId="3" fillId="3" borderId="0" xfId="2" applyFont="1" applyFill="1" applyBorder="1" applyAlignment="1">
      <alignment horizontal="center" vertical="center"/>
    </xf>
    <xf numFmtId="9" fontId="3" fillId="3" borderId="14" xfId="2" applyFont="1" applyFill="1" applyBorder="1" applyAlignment="1">
      <alignment horizontal="center" vertical="center"/>
    </xf>
    <xf numFmtId="9" fontId="3" fillId="3" borderId="10" xfId="2" applyFont="1" applyFill="1" applyBorder="1" applyAlignment="1">
      <alignment horizontal="center" vertical="center"/>
    </xf>
    <xf numFmtId="9" fontId="9" fillId="0" borderId="3" xfId="0" applyNumberFormat="1" applyFont="1" applyFill="1" applyBorder="1" applyAlignment="1">
      <alignment horizontal="center" vertical="center"/>
    </xf>
    <xf numFmtId="9" fontId="9" fillId="0" borderId="10" xfId="0" applyNumberFormat="1" applyFont="1" applyFill="1" applyBorder="1" applyAlignment="1">
      <alignment horizontal="center" vertical="center"/>
    </xf>
    <xf numFmtId="9" fontId="9" fillId="0" borderId="4" xfId="0" applyNumberFormat="1" applyFont="1" applyFill="1" applyBorder="1" applyAlignment="1">
      <alignment horizontal="center" vertical="center"/>
    </xf>
    <xf numFmtId="9" fontId="3" fillId="3" borderId="2" xfId="2" applyFont="1" applyFill="1" applyBorder="1" applyAlignment="1">
      <alignment horizontal="center" vertical="center"/>
    </xf>
    <xf numFmtId="9" fontId="9" fillId="0" borderId="7" xfId="0" applyNumberFormat="1" applyFont="1" applyFill="1" applyBorder="1" applyAlignment="1">
      <alignment horizontal="center" vertical="center"/>
    </xf>
    <xf numFmtId="9" fontId="27" fillId="0" borderId="3" xfId="0" applyNumberFormat="1" applyFont="1" applyFill="1" applyBorder="1" applyAlignment="1">
      <alignment horizontal="center" vertical="center" wrapText="1"/>
    </xf>
    <xf numFmtId="9" fontId="27" fillId="0" borderId="4" xfId="0" applyNumberFormat="1" applyFont="1" applyFill="1" applyBorder="1" applyAlignment="1">
      <alignment horizontal="center" vertical="center" wrapText="1"/>
    </xf>
    <xf numFmtId="9" fontId="27" fillId="0" borderId="7" xfId="0" applyNumberFormat="1" applyFont="1" applyFill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9" fontId="3" fillId="0" borderId="7" xfId="0" applyNumberFormat="1" applyFont="1" applyBorder="1" applyAlignment="1">
      <alignment horizontal="center" vertical="center" wrapText="1"/>
    </xf>
    <xf numFmtId="9" fontId="3" fillId="0" borderId="2" xfId="0" applyNumberFormat="1" applyFont="1" applyBorder="1" applyAlignment="1">
      <alignment horizontal="center" vertical="center" wrapText="1"/>
    </xf>
    <xf numFmtId="189" fontId="12" fillId="3" borderId="5" xfId="0" applyNumberFormat="1" applyFont="1" applyFill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3" fontId="12" fillId="0" borderId="28" xfId="0" applyNumberFormat="1" applyFont="1" applyBorder="1" applyAlignment="1">
      <alignment horizontal="center" vertical="center"/>
    </xf>
    <xf numFmtId="9" fontId="9" fillId="0" borderId="34" xfId="0" applyNumberFormat="1" applyFont="1" applyBorder="1" applyAlignment="1">
      <alignment horizontal="center" vertical="center"/>
    </xf>
    <xf numFmtId="9" fontId="9" fillId="0" borderId="29" xfId="0" applyNumberFormat="1" applyFont="1" applyBorder="1" applyAlignment="1">
      <alignment horizontal="center" vertical="center"/>
    </xf>
    <xf numFmtId="9" fontId="9" fillId="0" borderId="33" xfId="0" applyNumberFormat="1" applyFont="1" applyBorder="1" applyAlignment="1">
      <alignment horizontal="center" vertical="center"/>
    </xf>
    <xf numFmtId="9" fontId="9" fillId="0" borderId="31" xfId="0" applyNumberFormat="1" applyFont="1" applyBorder="1" applyAlignment="1">
      <alignment horizontal="center" vertical="center"/>
    </xf>
    <xf numFmtId="9" fontId="9" fillId="0" borderId="30" xfId="0" applyNumberFormat="1" applyFont="1" applyBorder="1" applyAlignment="1">
      <alignment horizontal="center" vertical="center"/>
    </xf>
    <xf numFmtId="9" fontId="9" fillId="0" borderId="32" xfId="0" applyNumberFormat="1" applyFont="1" applyBorder="1" applyAlignment="1">
      <alignment horizontal="center" vertical="center"/>
    </xf>
    <xf numFmtId="3" fontId="12" fillId="0" borderId="28" xfId="0" applyNumberFormat="1" applyFont="1" applyFill="1" applyBorder="1" applyAlignment="1">
      <alignment horizontal="center" vertical="center"/>
    </xf>
    <xf numFmtId="164" fontId="24" fillId="0" borderId="0" xfId="0" applyNumberFormat="1" applyFont="1" applyAlignment="1">
      <alignment horizontal="center" vertical="center" wrapText="1"/>
    </xf>
    <xf numFmtId="3" fontId="12" fillId="3" borderId="28" xfId="0" applyNumberFormat="1" applyFont="1" applyFill="1" applyBorder="1" applyAlignment="1">
      <alignment horizontal="center" vertical="center"/>
    </xf>
    <xf numFmtId="3" fontId="12" fillId="3" borderId="34" xfId="0" applyNumberFormat="1" applyFont="1" applyFill="1" applyBorder="1" applyAlignment="1">
      <alignment horizontal="center" vertical="center"/>
    </xf>
    <xf numFmtId="0" fontId="2" fillId="0" borderId="28" xfId="0" applyFont="1" applyBorder="1" applyAlignment="1">
      <alignment horizontal="left" vertical="center" wrapText="1"/>
    </xf>
    <xf numFmtId="3" fontId="12" fillId="0" borderId="28" xfId="0" applyNumberFormat="1" applyFont="1" applyFill="1" applyBorder="1" applyAlignment="1">
      <alignment horizontal="center" vertical="center" wrapText="1"/>
    </xf>
    <xf numFmtId="9" fontId="3" fillId="0" borderId="34" xfId="0" applyNumberFormat="1" applyFont="1" applyBorder="1" applyAlignment="1">
      <alignment horizontal="center" vertical="center" wrapText="1"/>
    </xf>
    <xf numFmtId="9" fontId="3" fillId="0" borderId="29" xfId="0" applyNumberFormat="1" applyFont="1" applyBorder="1" applyAlignment="1">
      <alignment horizontal="center" vertical="center" wrapText="1"/>
    </xf>
    <xf numFmtId="9" fontId="3" fillId="0" borderId="33" xfId="0" applyNumberFormat="1" applyFont="1" applyBorder="1" applyAlignment="1">
      <alignment horizontal="center" vertical="center" wrapText="1"/>
    </xf>
    <xf numFmtId="9" fontId="9" fillId="0" borderId="33" xfId="0" applyNumberFormat="1" applyFont="1" applyBorder="1" applyAlignment="1">
      <alignment horizontal="center" vertical="center" wrapText="1"/>
    </xf>
    <xf numFmtId="3" fontId="12" fillId="0" borderId="33" xfId="0" applyNumberFormat="1" applyFont="1" applyFill="1" applyBorder="1" applyAlignment="1">
      <alignment horizontal="center" vertical="center" wrapText="1"/>
    </xf>
    <xf numFmtId="3" fontId="12" fillId="0" borderId="11" xfId="0" applyNumberFormat="1" applyFont="1" applyFill="1" applyBorder="1" applyAlignment="1">
      <alignment horizontal="center" vertical="center" wrapText="1"/>
    </xf>
    <xf numFmtId="1" fontId="12" fillId="3" borderId="11" xfId="0" applyNumberFormat="1" applyFont="1" applyFill="1" applyBorder="1" applyAlignment="1">
      <alignment horizontal="center" vertical="center"/>
    </xf>
    <xf numFmtId="49" fontId="3" fillId="3" borderId="5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vertical="center"/>
    </xf>
    <xf numFmtId="3" fontId="12" fillId="3" borderId="5" xfId="0" applyNumberFormat="1" applyFont="1" applyFill="1" applyBorder="1" applyAlignment="1">
      <alignment vertical="center"/>
    </xf>
    <xf numFmtId="3" fontId="29" fillId="0" borderId="5" xfId="0" applyNumberFormat="1" applyFont="1" applyFill="1" applyBorder="1" applyAlignment="1">
      <alignment horizontal="center" vertical="center" wrapText="1"/>
    </xf>
    <xf numFmtId="3" fontId="12" fillId="3" borderId="5" xfId="0" applyNumberFormat="1" applyFont="1" applyFill="1" applyBorder="1" applyAlignment="1">
      <alignment vertical="center" wrapText="1"/>
    </xf>
    <xf numFmtId="169" fontId="26" fillId="0" borderId="1" xfId="0" applyNumberFormat="1" applyFont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/>
    </xf>
    <xf numFmtId="9" fontId="9" fillId="0" borderId="29" xfId="0" applyNumberFormat="1" applyFont="1" applyFill="1" applyBorder="1" applyAlignment="1">
      <alignment horizontal="center" vertical="center"/>
    </xf>
    <xf numFmtId="49" fontId="3" fillId="3" borderId="0" xfId="0" applyNumberFormat="1" applyFont="1" applyFill="1" applyBorder="1" applyAlignment="1">
      <alignment horizontal="center" vertical="center"/>
    </xf>
    <xf numFmtId="190" fontId="7" fillId="0" borderId="0" xfId="1" applyNumberFormat="1" applyFont="1" applyAlignment="1">
      <alignment horizontal="center" vertical="center" wrapText="1"/>
    </xf>
    <xf numFmtId="189" fontId="12" fillId="3" borderId="12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 wrapText="1"/>
    </xf>
    <xf numFmtId="9" fontId="9" fillId="0" borderId="14" xfId="2" applyFont="1" applyFill="1" applyBorder="1" applyAlignment="1">
      <alignment horizontal="center" vertical="center"/>
    </xf>
    <xf numFmtId="3" fontId="12" fillId="3" borderId="33" xfId="0" applyNumberFormat="1" applyFont="1" applyFill="1" applyBorder="1" applyAlignment="1">
      <alignment horizontal="center" vertical="center"/>
    </xf>
    <xf numFmtId="191" fontId="12" fillId="3" borderId="12" xfId="1" applyNumberFormat="1" applyFont="1" applyFill="1" applyBorder="1" applyAlignment="1">
      <alignment horizontal="center" vertical="center"/>
    </xf>
    <xf numFmtId="191" fontId="12" fillId="3" borderId="8" xfId="1" applyNumberFormat="1" applyFont="1" applyFill="1" applyBorder="1" applyAlignment="1">
      <alignment horizontal="center" vertical="center"/>
    </xf>
    <xf numFmtId="189" fontId="12" fillId="0" borderId="5" xfId="0" applyNumberFormat="1" applyFont="1" applyFill="1" applyBorder="1" applyAlignment="1">
      <alignment horizontal="center" vertical="center" wrapText="1"/>
    </xf>
    <xf numFmtId="3" fontId="11" fillId="3" borderId="28" xfId="0" applyNumberFormat="1" applyFont="1" applyFill="1" applyBorder="1" applyAlignment="1">
      <alignment horizontal="center" vertical="center"/>
    </xf>
    <xf numFmtId="0" fontId="6" fillId="3" borderId="0" xfId="0" applyFont="1" applyFill="1" applyAlignment="1">
      <alignment horizontal="left" vertical="center"/>
    </xf>
    <xf numFmtId="0" fontId="3" fillId="3" borderId="6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left" vertical="center"/>
    </xf>
    <xf numFmtId="3" fontId="11" fillId="0" borderId="28" xfId="0" applyNumberFormat="1" applyFont="1" applyFill="1" applyBorder="1" applyAlignment="1">
      <alignment horizontal="center" vertical="center"/>
    </xf>
    <xf numFmtId="9" fontId="9" fillId="0" borderId="34" xfId="0" applyNumberFormat="1" applyFont="1" applyFill="1" applyBorder="1" applyAlignment="1">
      <alignment horizontal="center" vertical="center"/>
    </xf>
    <xf numFmtId="9" fontId="9" fillId="0" borderId="33" xfId="0" applyNumberFormat="1" applyFont="1" applyFill="1" applyBorder="1" applyAlignment="1">
      <alignment horizontal="center" vertical="center"/>
    </xf>
    <xf numFmtId="0" fontId="25" fillId="3" borderId="0" xfId="0" applyFont="1" applyFill="1" applyAlignment="1">
      <alignment horizontal="left" vertical="center"/>
    </xf>
    <xf numFmtId="0" fontId="28" fillId="0" borderId="9" xfId="0" applyFont="1" applyFill="1" applyBorder="1" applyAlignment="1">
      <alignment horizontal="left" vertical="center" wrapText="1"/>
    </xf>
    <xf numFmtId="0" fontId="28" fillId="3" borderId="28" xfId="0" applyFont="1" applyFill="1" applyBorder="1" applyAlignment="1">
      <alignment horizontal="left" vertical="center" wrapText="1"/>
    </xf>
    <xf numFmtId="3" fontId="11" fillId="3" borderId="28" xfId="0" applyNumberFormat="1" applyFont="1" applyFill="1" applyBorder="1" applyAlignment="1">
      <alignment horizontal="center" vertical="center" wrapText="1"/>
    </xf>
    <xf numFmtId="9" fontId="27" fillId="0" borderId="34" xfId="0" applyNumberFormat="1" applyFont="1" applyFill="1" applyBorder="1" applyAlignment="1">
      <alignment horizontal="center" vertical="center" wrapText="1"/>
    </xf>
    <xf numFmtId="9" fontId="27" fillId="0" borderId="33" xfId="0" applyNumberFormat="1" applyFont="1" applyFill="1" applyBorder="1" applyAlignment="1">
      <alignment horizontal="center" vertical="center" wrapText="1"/>
    </xf>
    <xf numFmtId="0" fontId="13" fillId="0" borderId="9" xfId="0" applyFont="1" applyFill="1" applyBorder="1" applyAlignment="1">
      <alignment horizontal="left" vertical="center" wrapText="1" indent="2"/>
    </xf>
    <xf numFmtId="1" fontId="12" fillId="0" borderId="5" xfId="1" applyNumberFormat="1" applyFont="1" applyBorder="1" applyAlignment="1">
      <alignment horizontal="center" vertical="center" wrapText="1"/>
    </xf>
    <xf numFmtId="9" fontId="58" fillId="0" borderId="12" xfId="0" applyNumberFormat="1" applyFont="1" applyBorder="1" applyAlignment="1">
      <alignment horizontal="center" vertical="center"/>
    </xf>
    <xf numFmtId="9" fontId="58" fillId="0" borderId="11" xfId="0" applyNumberFormat="1" applyFont="1" applyBorder="1" applyAlignment="1">
      <alignment horizontal="center" vertical="center"/>
    </xf>
    <xf numFmtId="167" fontId="12" fillId="3" borderId="8" xfId="1" applyNumberFormat="1" applyFont="1" applyFill="1" applyBorder="1" applyAlignment="1">
      <alignment horizontal="center" vertical="center"/>
    </xf>
    <xf numFmtId="3" fontId="59" fillId="0" borderId="8" xfId="0" applyNumberFormat="1" applyFont="1" applyBorder="1" applyAlignment="1">
      <alignment horizontal="center" vertical="center"/>
    </xf>
    <xf numFmtId="3" fontId="59" fillId="0" borderId="0" xfId="0" applyNumberFormat="1" applyFont="1" applyAlignment="1">
      <alignment horizontal="center" vertical="center"/>
    </xf>
    <xf numFmtId="9" fontId="10" fillId="0" borderId="11" xfId="0" applyNumberFormat="1" applyFont="1" applyBorder="1" applyAlignment="1">
      <alignment horizontal="center" vertical="center"/>
    </xf>
    <xf numFmtId="9" fontId="9" fillId="0" borderId="31" xfId="0" applyNumberFormat="1" applyFont="1" applyFill="1" applyBorder="1" applyAlignment="1">
      <alignment horizontal="center" vertical="center"/>
    </xf>
    <xf numFmtId="9" fontId="9" fillId="0" borderId="30" xfId="0" applyNumberFormat="1" applyFont="1" applyFill="1" applyBorder="1" applyAlignment="1">
      <alignment horizontal="center" vertical="center"/>
    </xf>
    <xf numFmtId="9" fontId="9" fillId="0" borderId="32" xfId="0" applyNumberFormat="1" applyFont="1" applyFill="1" applyBorder="1" applyAlignment="1">
      <alignment horizontal="center" vertical="center"/>
    </xf>
    <xf numFmtId="3" fontId="29" fillId="3" borderId="8" xfId="0" applyNumberFormat="1" applyFont="1" applyFill="1" applyBorder="1" applyAlignment="1">
      <alignment horizontal="center" vertical="center"/>
    </xf>
    <xf numFmtId="3" fontId="29" fillId="3" borderId="2" xfId="0" applyNumberFormat="1" applyFont="1" applyFill="1" applyBorder="1" applyAlignment="1">
      <alignment horizontal="center" vertical="center"/>
    </xf>
    <xf numFmtId="168" fontId="12" fillId="0" borderId="6" xfId="0" applyNumberFormat="1" applyFont="1" applyBorder="1" applyAlignment="1">
      <alignment horizontal="center" vertical="center"/>
    </xf>
    <xf numFmtId="168" fontId="12" fillId="0" borderId="6" xfId="0" applyNumberFormat="1" applyFont="1" applyFill="1" applyBorder="1" applyAlignment="1">
      <alignment horizontal="center" vertical="center"/>
    </xf>
    <xf numFmtId="168" fontId="11" fillId="0" borderId="0" xfId="0" applyNumberFormat="1" applyFont="1" applyFill="1" applyAlignment="1">
      <alignment horizontal="center" vertical="center"/>
    </xf>
    <xf numFmtId="168" fontId="12" fillId="0" borderId="0" xfId="0" applyNumberFormat="1" applyFont="1" applyAlignment="1">
      <alignment vertical="center"/>
    </xf>
    <xf numFmtId="168" fontId="12" fillId="0" borderId="0" xfId="0" applyNumberFormat="1" applyFont="1" applyFill="1" applyBorder="1" applyAlignment="1">
      <alignment horizontal="center" vertical="center"/>
    </xf>
    <xf numFmtId="168" fontId="12" fillId="0" borderId="5" xfId="0" applyNumberFormat="1" applyFont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 wrapText="1"/>
    </xf>
    <xf numFmtId="3" fontId="11" fillId="0" borderId="9" xfId="0" applyNumberFormat="1" applyFont="1" applyFill="1" applyBorder="1" applyAlignment="1">
      <alignment horizontal="center" vertical="center"/>
    </xf>
    <xf numFmtId="0" fontId="6" fillId="0" borderId="28" xfId="0" applyFont="1" applyFill="1" applyBorder="1" applyAlignment="1">
      <alignment horizontal="left" vertical="center"/>
    </xf>
    <xf numFmtId="0" fontId="6" fillId="0" borderId="9" xfId="0" applyFont="1" applyFill="1" applyBorder="1" applyAlignment="1">
      <alignment horizontal="left" vertical="center"/>
    </xf>
    <xf numFmtId="3" fontId="11" fillId="3" borderId="9" xfId="0" applyNumberFormat="1" applyFont="1" applyFill="1" applyBorder="1" applyAlignment="1">
      <alignment horizontal="center" vertical="center"/>
    </xf>
    <xf numFmtId="49" fontId="8" fillId="3" borderId="0" xfId="0" applyNumberFormat="1" applyFont="1" applyFill="1" applyBorder="1" applyAlignment="1">
      <alignment horizontal="center" vertical="center"/>
    </xf>
    <xf numFmtId="3" fontId="11" fillId="0" borderId="13" xfId="0" applyNumberFormat="1" applyFont="1" applyFill="1" applyBorder="1" applyAlignment="1">
      <alignment horizontal="center" vertical="center"/>
    </xf>
    <xf numFmtId="3" fontId="12" fillId="0" borderId="33" xfId="0" applyNumberFormat="1" applyFont="1" applyFill="1" applyBorder="1" applyAlignment="1">
      <alignment horizontal="center" vertical="center"/>
    </xf>
    <xf numFmtId="3" fontId="12" fillId="0" borderId="11" xfId="0" applyNumberFormat="1" applyFont="1" applyBorder="1" applyAlignment="1">
      <alignment horizontal="center" vertical="center"/>
    </xf>
    <xf numFmtId="3" fontId="29" fillId="0" borderId="9" xfId="0" applyNumberFormat="1" applyFont="1" applyFill="1" applyBorder="1" applyAlignment="1">
      <alignment horizontal="center" vertical="center"/>
    </xf>
    <xf numFmtId="0" fontId="60" fillId="3" borderId="0" xfId="0" applyFont="1" applyFill="1" applyAlignment="1">
      <alignment vertical="center"/>
    </xf>
    <xf numFmtId="0" fontId="63" fillId="0" borderId="0" xfId="0" applyFont="1" applyAlignment="1">
      <alignment horizontal="left" vertical="center"/>
    </xf>
    <xf numFmtId="0" fontId="60" fillId="0" borderId="0" xfId="0" applyFont="1" applyAlignment="1">
      <alignment vertical="center"/>
    </xf>
    <xf numFmtId="0" fontId="64" fillId="0" borderId="0" xfId="0" applyFont="1" applyAlignment="1">
      <alignment horizontal="center" vertical="center"/>
    </xf>
    <xf numFmtId="0" fontId="60" fillId="0" borderId="0" xfId="0" applyFont="1" applyAlignment="1">
      <alignment horizontal="center" vertical="center"/>
    </xf>
    <xf numFmtId="0" fontId="60" fillId="3" borderId="0" xfId="0" applyFont="1" applyFill="1" applyAlignment="1">
      <alignment horizontal="center" vertical="center"/>
    </xf>
    <xf numFmtId="166" fontId="60" fillId="0" borderId="0" xfId="0" applyNumberFormat="1" applyFont="1" applyAlignment="1">
      <alignment vertical="center"/>
    </xf>
    <xf numFmtId="0" fontId="62" fillId="0" borderId="0" xfId="0" applyFont="1" applyAlignment="1">
      <alignment horizontal="center" vertical="center"/>
    </xf>
    <xf numFmtId="0" fontId="62" fillId="3" borderId="0" xfId="0" applyFont="1" applyFill="1" applyAlignment="1">
      <alignment horizontal="center" vertical="center"/>
    </xf>
    <xf numFmtId="0" fontId="65" fillId="0" borderId="0" xfId="0" applyFont="1" applyAlignment="1">
      <alignment horizontal="center" vertical="center"/>
    </xf>
    <xf numFmtId="49" fontId="60" fillId="3" borderId="0" xfId="0" applyNumberFormat="1" applyFont="1" applyFill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61" fillId="0" borderId="0" xfId="0" applyFont="1" applyAlignment="1">
      <alignment vertical="center"/>
    </xf>
    <xf numFmtId="0" fontId="64" fillId="0" borderId="0" xfId="0" applyFont="1" applyAlignment="1">
      <alignment horizontal="center" vertical="center" wrapText="1"/>
    </xf>
    <xf numFmtId="0" fontId="65" fillId="0" borderId="0" xfId="0" applyFont="1" applyAlignment="1">
      <alignment horizontal="center" vertical="center" wrapText="1"/>
    </xf>
    <xf numFmtId="3" fontId="60" fillId="0" borderId="0" xfId="0" applyNumberFormat="1" applyFont="1" applyAlignment="1">
      <alignment vertical="center"/>
    </xf>
    <xf numFmtId="164" fontId="60" fillId="0" borderId="0" xfId="1" applyFont="1" applyAlignment="1">
      <alignment horizontal="center" vertical="center"/>
    </xf>
    <xf numFmtId="194" fontId="60" fillId="0" borderId="0" xfId="0" applyNumberFormat="1" applyFont="1" applyAlignment="1">
      <alignment vertical="center"/>
    </xf>
    <xf numFmtId="9" fontId="60" fillId="0" borderId="0" xfId="2" applyFont="1" applyAlignment="1">
      <alignment vertical="center"/>
    </xf>
    <xf numFmtId="189" fontId="11" fillId="0" borderId="9" xfId="0" applyNumberFormat="1" applyFont="1" applyFill="1" applyBorder="1" applyAlignment="1">
      <alignment horizontal="center" vertical="center"/>
    </xf>
    <xf numFmtId="189" fontId="12" fillId="0" borderId="28" xfId="0" applyNumberFormat="1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 wrapText="1"/>
    </xf>
    <xf numFmtId="49" fontId="8" fillId="3" borderId="0" xfId="0" applyNumberFormat="1" applyFont="1" applyFill="1" applyAlignment="1">
      <alignment horizontal="center" vertical="center"/>
    </xf>
    <xf numFmtId="3" fontId="12" fillId="0" borderId="34" xfId="0" applyNumberFormat="1" applyFont="1" applyBorder="1" applyAlignment="1">
      <alignment horizontal="center" vertical="center"/>
    </xf>
    <xf numFmtId="0" fontId="66" fillId="0" borderId="0" xfId="0" applyFont="1" applyAlignment="1">
      <alignment vertical="center"/>
    </xf>
    <xf numFmtId="0" fontId="67" fillId="0" borderId="0" xfId="0" applyFont="1" applyFill="1" applyAlignment="1">
      <alignment horizontal="center" vertical="center"/>
    </xf>
    <xf numFmtId="164" fontId="67" fillId="0" borderId="0" xfId="1" applyFont="1" applyFill="1" applyAlignment="1">
      <alignment horizontal="center" vertical="center"/>
    </xf>
    <xf numFmtId="0" fontId="67" fillId="0" borderId="0" xfId="0" applyFont="1" applyFill="1" applyAlignment="1">
      <alignment vertical="center"/>
    </xf>
    <xf numFmtId="164" fontId="67" fillId="0" borderId="0" xfId="0" applyNumberFormat="1" applyFont="1" applyFill="1" applyAlignment="1">
      <alignment horizontal="center" vertical="center"/>
    </xf>
    <xf numFmtId="0" fontId="67" fillId="0" borderId="0" xfId="0" applyFont="1" applyAlignment="1">
      <alignment horizontal="center" vertical="center"/>
    </xf>
    <xf numFmtId="0" fontId="67" fillId="0" borderId="0" xfId="0" applyFont="1" applyAlignment="1">
      <alignment vertical="center"/>
    </xf>
    <xf numFmtId="164" fontId="67" fillId="0" borderId="0" xfId="0" applyNumberFormat="1" applyFont="1" applyAlignment="1">
      <alignment horizontal="center" vertical="center"/>
    </xf>
    <xf numFmtId="164" fontId="61" fillId="0" borderId="0" xfId="1" applyFont="1" applyFill="1" applyAlignment="1">
      <alignment horizontal="center" vertical="center" wrapText="1"/>
    </xf>
    <xf numFmtId="0" fontId="61" fillId="0" borderId="0" xfId="0" applyFont="1" applyAlignment="1">
      <alignment vertical="center" wrapText="1"/>
    </xf>
    <xf numFmtId="164" fontId="61" fillId="0" borderId="0" xfId="1" applyFont="1" applyAlignment="1">
      <alignment horizontal="center" vertical="center" wrapText="1"/>
    </xf>
    <xf numFmtId="3" fontId="61" fillId="0" borderId="0" xfId="0" applyNumberFormat="1" applyFont="1" applyAlignment="1">
      <alignment horizontal="center" vertical="center" wrapText="1"/>
    </xf>
    <xf numFmtId="0" fontId="13" fillId="0" borderId="5" xfId="0" applyFont="1" applyFill="1" applyBorder="1" applyAlignment="1">
      <alignment horizontal="right" vertical="center" wrapText="1"/>
    </xf>
    <xf numFmtId="3" fontId="67" fillId="0" borderId="0" xfId="0" applyNumberFormat="1" applyFont="1" applyAlignment="1">
      <alignment vertical="center"/>
    </xf>
    <xf numFmtId="1" fontId="12" fillId="3" borderId="13" xfId="1" applyNumberFormat="1" applyFont="1" applyFill="1" applyBorder="1" applyAlignment="1">
      <alignment horizontal="center" vertical="center"/>
    </xf>
    <xf numFmtId="3" fontId="12" fillId="0" borderId="33" xfId="0" applyNumberFormat="1" applyFont="1" applyBorder="1" applyAlignment="1">
      <alignment horizontal="center" vertical="center"/>
    </xf>
    <xf numFmtId="189" fontId="12" fillId="3" borderId="11" xfId="0" applyNumberFormat="1" applyFont="1" applyFill="1" applyBorder="1" applyAlignment="1">
      <alignment horizontal="center" vertical="center"/>
    </xf>
    <xf numFmtId="3" fontId="11" fillId="0" borderId="31" xfId="0" applyNumberFormat="1" applyFont="1" applyFill="1" applyBorder="1" applyAlignment="1">
      <alignment horizontal="center" vertical="center"/>
    </xf>
    <xf numFmtId="9" fontId="58" fillId="0" borderId="15" xfId="0" applyNumberFormat="1" applyFont="1" applyBorder="1" applyAlignment="1">
      <alignment horizontal="center" vertical="center"/>
    </xf>
    <xf numFmtId="9" fontId="58" fillId="0" borderId="14" xfId="0" applyNumberFormat="1" applyFont="1" applyBorder="1" applyAlignment="1">
      <alignment horizontal="center" vertical="center"/>
    </xf>
    <xf numFmtId="9" fontId="58" fillId="0" borderId="13" xfId="0" applyNumberFormat="1" applyFont="1" applyBorder="1" applyAlignment="1">
      <alignment horizontal="center" vertical="center"/>
    </xf>
    <xf numFmtId="0" fontId="24" fillId="0" borderId="0" xfId="0" applyFont="1" applyFill="1" applyAlignment="1">
      <alignment wrapText="1"/>
    </xf>
    <xf numFmtId="0" fontId="6" fillId="0" borderId="28" xfId="0" applyFont="1" applyBorder="1" applyAlignment="1">
      <alignment horizontal="left" vertical="center"/>
    </xf>
    <xf numFmtId="0" fontId="13" fillId="0" borderId="5" xfId="0" applyFont="1" applyBorder="1" applyAlignment="1">
      <alignment horizontal="right" vertical="center"/>
    </xf>
    <xf numFmtId="0" fontId="13" fillId="0" borderId="9" xfId="0" applyFont="1" applyBorder="1" applyAlignment="1">
      <alignment horizontal="right" vertical="center"/>
    </xf>
    <xf numFmtId="189" fontId="11" fillId="0" borderId="5" xfId="0" applyNumberFormat="1" applyFont="1" applyFill="1" applyBorder="1" applyAlignment="1">
      <alignment horizontal="center" vertical="center"/>
    </xf>
    <xf numFmtId="9" fontId="9" fillId="3" borderId="31" xfId="0" applyNumberFormat="1" applyFont="1" applyFill="1" applyBorder="1" applyAlignment="1">
      <alignment horizontal="center" vertical="center"/>
    </xf>
    <xf numFmtId="9" fontId="9" fillId="3" borderId="30" xfId="0" applyNumberFormat="1" applyFont="1" applyFill="1" applyBorder="1" applyAlignment="1">
      <alignment horizontal="center" vertical="center"/>
    </xf>
    <xf numFmtId="9" fontId="9" fillId="3" borderId="32" xfId="0" applyNumberFormat="1" applyFont="1" applyFill="1" applyBorder="1" applyAlignment="1">
      <alignment horizontal="center" vertical="center"/>
    </xf>
    <xf numFmtId="9" fontId="3" fillId="3" borderId="32" xfId="2" applyFont="1" applyFill="1" applyBorder="1" applyAlignment="1">
      <alignment horizontal="center" vertical="center"/>
    </xf>
    <xf numFmtId="164" fontId="67" fillId="0" borderId="0" xfId="0" applyNumberFormat="1" applyFont="1" applyFill="1" applyAlignment="1">
      <alignment vertical="center"/>
    </xf>
    <xf numFmtId="9" fontId="27" fillId="0" borderId="29" xfId="0" applyNumberFormat="1" applyFont="1" applyFill="1" applyBorder="1" applyAlignment="1">
      <alignment horizontal="center" vertical="center" wrapText="1"/>
    </xf>
    <xf numFmtId="3" fontId="11" fillId="0" borderId="28" xfId="0" applyNumberFormat="1" applyFont="1" applyBorder="1" applyAlignment="1">
      <alignment horizontal="center" vertical="center"/>
    </xf>
    <xf numFmtId="1" fontId="5" fillId="3" borderId="0" xfId="0" applyNumberFormat="1" applyFont="1" applyFill="1" applyAlignment="1">
      <alignment horizontal="center" vertical="center"/>
    </xf>
    <xf numFmtId="164" fontId="12" fillId="3" borderId="0" xfId="1" applyFont="1" applyFill="1" applyBorder="1" applyAlignment="1">
      <alignment horizontal="center" vertical="center"/>
    </xf>
    <xf numFmtId="170" fontId="9" fillId="0" borderId="12" xfId="0" applyNumberFormat="1" applyFont="1" applyBorder="1" applyAlignment="1">
      <alignment horizontal="center" vertical="center"/>
    </xf>
    <xf numFmtId="170" fontId="9" fillId="0" borderId="11" xfId="0" applyNumberFormat="1" applyFont="1" applyFill="1" applyBorder="1" applyAlignment="1">
      <alignment horizontal="center" vertical="center"/>
    </xf>
    <xf numFmtId="170" fontId="9" fillId="0" borderId="12" xfId="0" applyNumberFormat="1" applyFont="1" applyFill="1" applyBorder="1" applyAlignment="1">
      <alignment horizontal="center" vertical="center"/>
    </xf>
    <xf numFmtId="170" fontId="9" fillId="0" borderId="11" xfId="0" applyNumberFormat="1" applyFont="1" applyBorder="1" applyAlignment="1">
      <alignment horizontal="center" vertical="center"/>
    </xf>
    <xf numFmtId="195" fontId="8" fillId="0" borderId="0" xfId="0" applyNumberFormat="1" applyFont="1" applyAlignment="1">
      <alignment vertical="center"/>
    </xf>
    <xf numFmtId="167" fontId="7" fillId="0" borderId="0" xfId="1" applyNumberFormat="1" applyFont="1" applyAlignment="1">
      <alignment horizontal="center" vertical="center"/>
    </xf>
    <xf numFmtId="195" fontId="8" fillId="3" borderId="0" xfId="0" applyNumberFormat="1" applyFont="1" applyFill="1" applyAlignment="1">
      <alignment vertical="center"/>
    </xf>
    <xf numFmtId="10" fontId="9" fillId="0" borderId="12" xfId="0" applyNumberFormat="1" applyFont="1" applyBorder="1" applyAlignment="1">
      <alignment horizontal="center" vertical="center"/>
    </xf>
    <xf numFmtId="170" fontId="9" fillId="0" borderId="1" xfId="0" applyNumberFormat="1" applyFont="1" applyBorder="1" applyAlignment="1">
      <alignment horizontal="center" vertical="center" wrapText="1"/>
    </xf>
    <xf numFmtId="167" fontId="12" fillId="3" borderId="5" xfId="1" applyNumberFormat="1" applyFont="1" applyFill="1" applyBorder="1" applyAlignment="1">
      <alignment horizontal="center" vertical="center"/>
    </xf>
    <xf numFmtId="167" fontId="3" fillId="3" borderId="0" xfId="0" applyNumberFormat="1" applyFont="1" applyFill="1" applyAlignment="1">
      <alignment horizontal="center" vertical="center"/>
    </xf>
    <xf numFmtId="10" fontId="9" fillId="0" borderId="10" xfId="0" applyNumberFormat="1" applyFont="1" applyFill="1" applyBorder="1" applyAlignment="1">
      <alignment horizontal="center" vertical="center"/>
    </xf>
    <xf numFmtId="3" fontId="3" fillId="3" borderId="0" xfId="1268" applyNumberFormat="1" applyFont="1" applyFill="1" applyBorder="1" applyAlignment="1">
      <alignment horizontal="center" vertical="center"/>
    </xf>
    <xf numFmtId="167" fontId="3" fillId="3" borderId="0" xfId="1268" applyNumberFormat="1" applyFont="1" applyFill="1" applyBorder="1" applyAlignment="1">
      <alignment horizontal="center" vertical="center"/>
    </xf>
    <xf numFmtId="3" fontId="29" fillId="3" borderId="6" xfId="0" applyNumberFormat="1" applyFont="1" applyFill="1" applyBorder="1" applyAlignment="1">
      <alignment horizontal="center" vertical="center" wrapText="1"/>
    </xf>
    <xf numFmtId="3" fontId="31" fillId="3" borderId="5" xfId="0" applyNumberFormat="1" applyFont="1" applyFill="1" applyBorder="1" applyAlignment="1">
      <alignment horizontal="center" vertical="center" wrapText="1"/>
    </xf>
    <xf numFmtId="3" fontId="31" fillId="3" borderId="9" xfId="0" applyNumberFormat="1" applyFont="1" applyFill="1" applyBorder="1" applyAlignment="1">
      <alignment horizontal="center" vertical="center" wrapText="1"/>
    </xf>
    <xf numFmtId="9" fontId="9" fillId="0" borderId="29" xfId="0" applyNumberFormat="1" applyFont="1" applyBorder="1" applyAlignment="1">
      <alignment horizontal="center" vertical="center" wrapText="1"/>
    </xf>
    <xf numFmtId="189" fontId="12" fillId="3" borderId="28" xfId="0" applyNumberFormat="1" applyFont="1" applyFill="1" applyBorder="1" applyAlignment="1">
      <alignment horizontal="center" vertical="center"/>
    </xf>
    <xf numFmtId="170" fontId="9" fillId="0" borderId="3" xfId="0" applyNumberFormat="1" applyFont="1" applyBorder="1" applyAlignment="1">
      <alignment horizontal="center" vertical="center"/>
    </xf>
    <xf numFmtId="168" fontId="7" fillId="0" borderId="0" xfId="0" applyNumberFormat="1" applyFont="1" applyAlignment="1">
      <alignment vertical="center"/>
    </xf>
    <xf numFmtId="170" fontId="27" fillId="0" borderId="12" xfId="0" applyNumberFormat="1" applyFont="1" applyFill="1" applyBorder="1" applyAlignment="1">
      <alignment horizontal="center" vertical="center" wrapText="1"/>
    </xf>
    <xf numFmtId="170" fontId="27" fillId="0" borderId="11" xfId="0" applyNumberFormat="1" applyFont="1" applyFill="1" applyBorder="1" applyAlignment="1">
      <alignment horizontal="center" vertical="center" wrapText="1"/>
    </xf>
    <xf numFmtId="4" fontId="12" fillId="0" borderId="9" xfId="0" applyNumberFormat="1" applyFont="1" applyBorder="1" applyAlignment="1">
      <alignment horizontal="center" vertical="center"/>
    </xf>
    <xf numFmtId="164" fontId="60" fillId="0" borderId="0" xfId="1" applyFont="1" applyAlignment="1">
      <alignment vertical="center"/>
    </xf>
    <xf numFmtId="164" fontId="60" fillId="0" borderId="0" xfId="0" applyNumberFormat="1" applyFont="1" applyAlignment="1">
      <alignment vertical="center"/>
    </xf>
    <xf numFmtId="2" fontId="60" fillId="0" borderId="0" xfId="1" applyNumberFormat="1" applyFont="1" applyAlignment="1">
      <alignment vertical="center"/>
    </xf>
    <xf numFmtId="3" fontId="61" fillId="0" borderId="0" xfId="0" applyNumberFormat="1" applyFont="1" applyAlignment="1">
      <alignment vertical="center"/>
    </xf>
    <xf numFmtId="170" fontId="9" fillId="0" borderId="10" xfId="0" applyNumberFormat="1" applyFont="1" applyBorder="1" applyAlignment="1">
      <alignment horizontal="center" vertical="center"/>
    </xf>
    <xf numFmtId="3" fontId="60" fillId="0" borderId="0" xfId="0" applyNumberFormat="1" applyFont="1" applyAlignment="1">
      <alignment horizontal="center" vertical="center"/>
    </xf>
    <xf numFmtId="170" fontId="27" fillId="0" borderId="11" xfId="0" applyNumberFormat="1" applyFont="1" applyBorder="1" applyAlignment="1">
      <alignment horizontal="center" vertical="center"/>
    </xf>
    <xf numFmtId="164" fontId="61" fillId="0" borderId="0" xfId="1" applyFont="1" applyAlignment="1">
      <alignment vertical="center"/>
    </xf>
    <xf numFmtId="164" fontId="12" fillId="0" borderId="0" xfId="1" applyFont="1" applyFill="1" applyAlignment="1">
      <alignment vertical="center"/>
    </xf>
    <xf numFmtId="189" fontId="12" fillId="0" borderId="8" xfId="0" applyNumberFormat="1" applyFont="1" applyFill="1" applyBorder="1" applyAlignment="1">
      <alignment horizontal="center" vertical="center"/>
    </xf>
    <xf numFmtId="3" fontId="12" fillId="0" borderId="8" xfId="0" applyNumberFormat="1" applyFont="1" applyBorder="1" applyAlignment="1">
      <alignment horizontal="center" vertical="center"/>
    </xf>
    <xf numFmtId="189" fontId="12" fillId="0" borderId="11" xfId="0" applyNumberFormat="1" applyFont="1" applyFill="1" applyBorder="1" applyAlignment="1">
      <alignment horizontal="center" vertical="center" wrapText="1"/>
    </xf>
    <xf numFmtId="1" fontId="12" fillId="0" borderId="11" xfId="0" applyNumberFormat="1" applyFont="1" applyFill="1" applyBorder="1" applyAlignment="1">
      <alignment horizontal="center" vertical="center" wrapText="1"/>
    </xf>
    <xf numFmtId="3" fontId="11" fillId="0" borderId="9" xfId="0" applyNumberFormat="1" applyFont="1" applyBorder="1" applyAlignment="1">
      <alignment horizontal="center" vertical="center" wrapText="1"/>
    </xf>
    <xf numFmtId="3" fontId="12" fillId="0" borderId="9" xfId="0" applyNumberFormat="1" applyFont="1" applyFill="1" applyBorder="1" applyAlignment="1">
      <alignment horizontal="center" vertical="center" wrapText="1"/>
    </xf>
    <xf numFmtId="164" fontId="9" fillId="0" borderId="0" xfId="1" applyFont="1" applyAlignment="1">
      <alignment horizontal="center" vertical="center"/>
    </xf>
    <xf numFmtId="10" fontId="6" fillId="0" borderId="8" xfId="9" applyNumberFormat="1" applyFont="1" applyFill="1" applyBorder="1" applyAlignment="1">
      <alignment horizontal="center" vertical="center"/>
    </xf>
    <xf numFmtId="10" fontId="2" fillId="0" borderId="5" xfId="9" applyNumberFormat="1" applyFont="1" applyFill="1" applyBorder="1" applyAlignment="1">
      <alignment horizontal="center" vertical="center"/>
    </xf>
    <xf numFmtId="10" fontId="6" fillId="0" borderId="5" xfId="9" applyNumberFormat="1" applyFont="1" applyFill="1" applyBorder="1" applyAlignment="1">
      <alignment horizontal="center" vertical="center"/>
    </xf>
    <xf numFmtId="10" fontId="6" fillId="0" borderId="6" xfId="9" applyNumberFormat="1" applyFont="1" applyFill="1" applyBorder="1" applyAlignment="1">
      <alignment horizontal="center" vertical="center"/>
    </xf>
    <xf numFmtId="10" fontId="2" fillId="0" borderId="9" xfId="9" applyNumberFormat="1" applyFont="1" applyFill="1" applyBorder="1" applyAlignment="1">
      <alignment horizontal="center" vertical="center"/>
    </xf>
    <xf numFmtId="10" fontId="6" fillId="0" borderId="9" xfId="9" applyNumberFormat="1" applyFont="1" applyFill="1" applyBorder="1" applyAlignment="1">
      <alignment horizontal="center" vertical="center"/>
    </xf>
    <xf numFmtId="164" fontId="12" fillId="3" borderId="28" xfId="1" applyFont="1" applyFill="1" applyBorder="1" applyAlignment="1">
      <alignment horizontal="center" vertical="center"/>
    </xf>
    <xf numFmtId="1" fontId="12" fillId="3" borderId="9" xfId="0" applyNumberFormat="1" applyFont="1" applyFill="1" applyBorder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0" fontId="68" fillId="0" borderId="0" xfId="0" quotePrefix="1" applyFont="1" applyAlignment="1">
      <alignment horizontal="center" vertical="center"/>
    </xf>
    <xf numFmtId="20" fontId="3" fillId="3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49" fontId="3" fillId="0" borderId="29" xfId="0" applyNumberFormat="1" applyFont="1" applyBorder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17" fontId="0" fillId="0" borderId="0" xfId="0" applyNumberFormat="1"/>
    <xf numFmtId="3" fontId="11" fillId="3" borderId="33" xfId="0" applyNumberFormat="1" applyFont="1" applyFill="1" applyBorder="1" applyAlignment="1">
      <alignment horizontal="center" vertical="center"/>
    </xf>
    <xf numFmtId="9" fontId="3" fillId="3" borderId="34" xfId="0" applyNumberFormat="1" applyFont="1" applyFill="1" applyBorder="1" applyAlignment="1">
      <alignment horizontal="center" vertical="center"/>
    </xf>
    <xf numFmtId="9" fontId="3" fillId="3" borderId="29" xfId="0" applyNumberFormat="1" applyFont="1" applyFill="1" applyBorder="1" applyAlignment="1">
      <alignment horizontal="center" vertical="center"/>
    </xf>
    <xf numFmtId="9" fontId="3" fillId="3" borderId="33" xfId="0" applyNumberFormat="1" applyFont="1" applyFill="1" applyBorder="1" applyAlignment="1">
      <alignment horizontal="center" vertical="center"/>
    </xf>
    <xf numFmtId="2" fontId="0" fillId="0" borderId="0" xfId="0" applyNumberFormat="1"/>
    <xf numFmtId="3" fontId="12" fillId="3" borderId="0" xfId="0" applyNumberFormat="1" applyFont="1" applyFill="1" applyAlignment="1">
      <alignment horizontal="center" vertical="center"/>
    </xf>
    <xf numFmtId="9" fontId="3" fillId="3" borderId="12" xfId="0" applyNumberFormat="1" applyFont="1" applyFill="1" applyBorder="1" applyAlignment="1">
      <alignment horizontal="center" vertical="center"/>
    </xf>
    <xf numFmtId="9" fontId="3" fillId="3" borderId="0" xfId="0" applyNumberFormat="1" applyFont="1" applyFill="1" applyAlignment="1">
      <alignment horizontal="center" vertical="center"/>
    </xf>
    <xf numFmtId="9" fontId="3" fillId="3" borderId="11" xfId="0" applyNumberFormat="1" applyFont="1" applyFill="1" applyBorder="1" applyAlignment="1">
      <alignment horizontal="center" vertical="center"/>
    </xf>
    <xf numFmtId="189" fontId="12" fillId="3" borderId="9" xfId="0" applyNumberFormat="1" applyFont="1" applyFill="1" applyBorder="1" applyAlignment="1">
      <alignment horizontal="center" vertical="center"/>
    </xf>
    <xf numFmtId="189" fontId="12" fillId="3" borderId="13" xfId="0" applyNumberFormat="1" applyFont="1" applyFill="1" applyBorder="1" applyAlignment="1">
      <alignment horizontal="center" vertical="center"/>
    </xf>
    <xf numFmtId="9" fontId="3" fillId="3" borderId="15" xfId="0" applyNumberFormat="1" applyFont="1" applyFill="1" applyBorder="1" applyAlignment="1">
      <alignment horizontal="center" vertical="center"/>
    </xf>
    <xf numFmtId="9" fontId="3" fillId="3" borderId="14" xfId="0" applyNumberFormat="1" applyFont="1" applyFill="1" applyBorder="1" applyAlignment="1">
      <alignment horizontal="center" vertical="center"/>
    </xf>
    <xf numFmtId="9" fontId="3" fillId="3" borderId="13" xfId="0" applyNumberFormat="1" applyFont="1" applyFill="1" applyBorder="1" applyAlignment="1">
      <alignment horizontal="center" vertical="center"/>
    </xf>
    <xf numFmtId="164" fontId="11" fillId="3" borderId="12" xfId="1" applyFont="1" applyFill="1" applyBorder="1" applyAlignment="1">
      <alignment horizontal="center" vertical="center"/>
    </xf>
    <xf numFmtId="164" fontId="12" fillId="3" borderId="9" xfId="1" applyFont="1" applyFill="1" applyBorder="1" applyAlignment="1">
      <alignment horizontal="center" vertical="center"/>
    </xf>
    <xf numFmtId="192" fontId="12" fillId="3" borderId="9" xfId="0" applyNumberFormat="1" applyFont="1" applyFill="1" applyBorder="1" applyAlignment="1">
      <alignment horizontal="center" vertical="center"/>
    </xf>
    <xf numFmtId="3" fontId="12" fillId="3" borderId="5" xfId="0" quotePrefix="1" applyNumberFormat="1" applyFont="1" applyFill="1" applyBorder="1" applyAlignment="1">
      <alignment horizontal="center" vertical="center"/>
    </xf>
    <xf numFmtId="2" fontId="0" fillId="0" borderId="0" xfId="1" applyNumberFormat="1" applyFont="1"/>
    <xf numFmtId="192" fontId="12" fillId="3" borderId="11" xfId="1" applyNumberFormat="1" applyFont="1" applyFill="1" applyBorder="1" applyAlignment="1">
      <alignment horizontal="center" vertical="center"/>
    </xf>
    <xf numFmtId="3" fontId="12" fillId="3" borderId="9" xfId="1" applyNumberFormat="1" applyFont="1" applyFill="1" applyBorder="1" applyAlignment="1">
      <alignment horizontal="center" vertical="center"/>
    </xf>
    <xf numFmtId="192" fontId="11" fillId="3" borderId="28" xfId="1" applyNumberFormat="1" applyFont="1" applyFill="1" applyBorder="1" applyAlignment="1">
      <alignment horizontal="center" vertical="center"/>
    </xf>
    <xf numFmtId="192" fontId="12" fillId="3" borderId="5" xfId="0" applyNumberFormat="1" applyFont="1" applyFill="1" applyBorder="1" applyAlignment="1">
      <alignment horizontal="center" vertical="center"/>
    </xf>
    <xf numFmtId="164" fontId="12" fillId="3" borderId="13" xfId="1" applyFont="1" applyFill="1" applyBorder="1" applyAlignment="1">
      <alignment horizontal="center" vertical="center"/>
    </xf>
    <xf numFmtId="192" fontId="12" fillId="3" borderId="9" xfId="1" applyNumberFormat="1" applyFont="1" applyFill="1" applyBorder="1" applyAlignment="1">
      <alignment horizontal="center" vertical="center"/>
    </xf>
    <xf numFmtId="3" fontId="3" fillId="3" borderId="0" xfId="0" applyNumberFormat="1" applyFont="1" applyFill="1" applyAlignment="1">
      <alignment horizontal="center" vertical="center"/>
    </xf>
    <xf numFmtId="4" fontId="3" fillId="3" borderId="0" xfId="0" applyNumberFormat="1" applyFont="1" applyFill="1" applyAlignment="1">
      <alignment horizontal="center" vertical="center"/>
    </xf>
    <xf numFmtId="164" fontId="3" fillId="3" borderId="0" xfId="0" applyNumberFormat="1" applyFont="1" applyFill="1" applyAlignment="1">
      <alignment vertical="center"/>
    </xf>
    <xf numFmtId="169" fontId="3" fillId="3" borderId="29" xfId="1" applyNumberFormat="1" applyFont="1" applyFill="1" applyBorder="1" applyAlignment="1">
      <alignment horizontal="center" vertical="center"/>
    </xf>
    <xf numFmtId="164" fontId="3" fillId="3" borderId="29" xfId="0" applyNumberFormat="1" applyFont="1" applyFill="1" applyBorder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1" fontId="12" fillId="3" borderId="0" xfId="0" applyNumberFormat="1" applyFont="1" applyFill="1" applyAlignment="1">
      <alignment vertical="center"/>
    </xf>
    <xf numFmtId="3" fontId="11" fillId="3" borderId="11" xfId="0" applyNumberFormat="1" applyFont="1" applyFill="1" applyBorder="1" applyAlignment="1">
      <alignment horizontal="center" vertical="center"/>
    </xf>
    <xf numFmtId="0" fontId="3" fillId="0" borderId="0" xfId="6" applyAlignment="1">
      <alignment vertical="center"/>
    </xf>
    <xf numFmtId="0" fontId="3" fillId="0" borderId="0" xfId="6" applyAlignment="1">
      <alignment horizontal="left" vertical="center"/>
    </xf>
    <xf numFmtId="0" fontId="3" fillId="0" borderId="0" xfId="6" applyAlignment="1">
      <alignment horizontal="center" vertical="center"/>
    </xf>
    <xf numFmtId="167" fontId="3" fillId="0" borderId="0" xfId="7" applyNumberFormat="1" applyFont="1" applyAlignment="1">
      <alignment horizontal="left" vertical="center"/>
    </xf>
    <xf numFmtId="20" fontId="3" fillId="0" borderId="0" xfId="6" applyNumberFormat="1" applyAlignment="1">
      <alignment horizontal="center" vertical="center"/>
    </xf>
    <xf numFmtId="0" fontId="8" fillId="0" borderId="28" xfId="6" quotePrefix="1" applyFont="1" applyBorder="1" applyAlignment="1">
      <alignment horizontal="center" vertical="center"/>
    </xf>
    <xf numFmtId="0" fontId="8" fillId="0" borderId="5" xfId="6" quotePrefix="1" applyFont="1" applyBorder="1" applyAlignment="1">
      <alignment horizontal="center" vertical="center"/>
    </xf>
    <xf numFmtId="0" fontId="8" fillId="0" borderId="28" xfId="6" applyFont="1" applyBorder="1" applyAlignment="1">
      <alignment horizontal="center" vertical="center"/>
    </xf>
    <xf numFmtId="0" fontId="8" fillId="0" borderId="0" xfId="6" applyFont="1" applyAlignment="1">
      <alignment horizontal="center" vertical="center"/>
    </xf>
    <xf numFmtId="0" fontId="8" fillId="0" borderId="9" xfId="6" applyFont="1" applyBorder="1" applyAlignment="1">
      <alignment horizontal="center" vertical="center"/>
    </xf>
    <xf numFmtId="0" fontId="8" fillId="0" borderId="5" xfId="6" applyFont="1" applyBorder="1" applyAlignment="1">
      <alignment horizontal="center" vertical="center"/>
    </xf>
    <xf numFmtId="49" fontId="8" fillId="0" borderId="9" xfId="6" applyNumberFormat="1" applyFont="1" applyBorder="1" applyAlignment="1">
      <alignment horizontal="center" vertical="center"/>
    </xf>
    <xf numFmtId="49" fontId="3" fillId="0" borderId="0" xfId="6" applyNumberFormat="1" applyAlignment="1">
      <alignment horizontal="center" vertical="center"/>
    </xf>
    <xf numFmtId="49" fontId="3" fillId="0" borderId="29" xfId="6" applyNumberFormat="1" applyBorder="1" applyAlignment="1">
      <alignment horizontal="center" vertical="center"/>
    </xf>
    <xf numFmtId="0" fontId="3" fillId="0" borderId="29" xfId="6" applyBorder="1" applyAlignment="1">
      <alignment horizontal="center" vertical="center"/>
    </xf>
    <xf numFmtId="0" fontId="8" fillId="0" borderId="8" xfId="6" applyFont="1" applyBorder="1" applyAlignment="1">
      <alignment horizontal="left" vertical="center"/>
    </xf>
    <xf numFmtId="3" fontId="8" fillId="0" borderId="8" xfId="6" applyNumberFormat="1" applyFont="1" applyBorder="1" applyAlignment="1">
      <alignment horizontal="center" vertical="center"/>
    </xf>
    <xf numFmtId="3" fontId="8" fillId="0" borderId="5" xfId="6" applyNumberFormat="1" applyFont="1" applyBorder="1" applyAlignment="1">
      <alignment horizontal="center" vertical="center"/>
    </xf>
    <xf numFmtId="9" fontId="8" fillId="0" borderId="8" xfId="8" applyFont="1" applyFill="1" applyBorder="1" applyAlignment="1">
      <alignment horizontal="center" vertical="center"/>
    </xf>
    <xf numFmtId="167" fontId="3" fillId="0" borderId="0" xfId="1" applyNumberFormat="1" applyFont="1" applyFill="1" applyAlignment="1">
      <alignment horizontal="center" vertical="center"/>
    </xf>
    <xf numFmtId="164" fontId="3" fillId="0" borderId="0" xfId="6" applyNumberFormat="1" applyAlignment="1">
      <alignment horizontal="center" vertical="center"/>
    </xf>
    <xf numFmtId="190" fontId="3" fillId="0" borderId="0" xfId="1" applyNumberFormat="1" applyFont="1" applyFill="1" applyAlignment="1">
      <alignment horizontal="center" vertical="center"/>
    </xf>
    <xf numFmtId="0" fontId="3" fillId="2" borderId="5" xfId="6" quotePrefix="1" applyFill="1" applyBorder="1" applyAlignment="1">
      <alignment horizontal="left" vertical="center"/>
    </xf>
    <xf numFmtId="3" fontId="3" fillId="3" borderId="5" xfId="6" applyNumberFormat="1" applyFill="1" applyBorder="1" applyAlignment="1">
      <alignment horizontal="center" vertical="center"/>
    </xf>
    <xf numFmtId="3" fontId="3" fillId="0" borderId="5" xfId="6" applyNumberFormat="1" applyBorder="1" applyAlignment="1">
      <alignment horizontal="center" vertical="center"/>
    </xf>
    <xf numFmtId="9" fontId="3" fillId="0" borderId="5" xfId="8" applyFont="1" applyBorder="1" applyAlignment="1">
      <alignment horizontal="center" vertical="center"/>
    </xf>
    <xf numFmtId="0" fontId="3" fillId="0" borderId="5" xfId="6" applyBorder="1" applyAlignment="1">
      <alignment horizontal="left" vertical="center"/>
    </xf>
    <xf numFmtId="0" fontId="3" fillId="0" borderId="9" xfId="6" applyBorder="1" applyAlignment="1">
      <alignment horizontal="left" vertical="center"/>
    </xf>
    <xf numFmtId="3" fontId="3" fillId="3" borderId="9" xfId="6" applyNumberFormat="1" applyFill="1" applyBorder="1" applyAlignment="1">
      <alignment horizontal="center" vertical="center"/>
    </xf>
    <xf numFmtId="3" fontId="3" fillId="0" borderId="9" xfId="6" applyNumberFormat="1" applyBorder="1" applyAlignment="1">
      <alignment horizontal="center" vertical="center"/>
    </xf>
    <xf numFmtId="9" fontId="3" fillId="0" borderId="9" xfId="8" applyFont="1" applyBorder="1" applyAlignment="1">
      <alignment horizontal="center" vertical="center"/>
    </xf>
    <xf numFmtId="0" fontId="3" fillId="2" borderId="28" xfId="6" quotePrefix="1" applyFill="1" applyBorder="1" applyAlignment="1">
      <alignment horizontal="left" vertical="center"/>
    </xf>
    <xf numFmtId="3" fontId="3" fillId="0" borderId="28" xfId="6" applyNumberFormat="1" applyBorder="1" applyAlignment="1">
      <alignment horizontal="center" vertical="center"/>
    </xf>
    <xf numFmtId="9" fontId="3" fillId="0" borderId="28" xfId="8" applyFont="1" applyBorder="1" applyAlignment="1">
      <alignment horizontal="center" vertical="center"/>
    </xf>
    <xf numFmtId="0" fontId="3" fillId="2" borderId="5" xfId="6" applyFill="1" applyBorder="1" applyAlignment="1">
      <alignment horizontal="left" vertical="center"/>
    </xf>
    <xf numFmtId="3" fontId="8" fillId="0" borderId="28" xfId="6" applyNumberFormat="1" applyFont="1" applyBorder="1" applyAlignment="1">
      <alignment horizontal="center" vertical="center"/>
    </xf>
    <xf numFmtId="3" fontId="8" fillId="3" borderId="28" xfId="6" applyNumberFormat="1" applyFont="1" applyFill="1" applyBorder="1" applyAlignment="1">
      <alignment horizontal="center" vertical="center"/>
    </xf>
    <xf numFmtId="0" fontId="3" fillId="2" borderId="28" xfId="6" applyFill="1" applyBorder="1" applyAlignment="1">
      <alignment horizontal="left" vertical="center"/>
    </xf>
    <xf numFmtId="3" fontId="3" fillId="3" borderId="28" xfId="6" applyNumberFormat="1" applyFill="1" applyBorder="1" applyAlignment="1">
      <alignment horizontal="center" vertical="center"/>
    </xf>
    <xf numFmtId="9" fontId="8" fillId="0" borderId="28" xfId="8" applyFont="1" applyBorder="1" applyAlignment="1">
      <alignment horizontal="center" vertical="center"/>
    </xf>
    <xf numFmtId="0" fontId="9" fillId="0" borderId="0" xfId="6" applyFont="1" applyAlignment="1">
      <alignment vertical="center"/>
    </xf>
    <xf numFmtId="9" fontId="8" fillId="0" borderId="5" xfId="8" applyFont="1" applyBorder="1" applyAlignment="1">
      <alignment horizontal="center" vertical="center"/>
    </xf>
    <xf numFmtId="9" fontId="15" fillId="0" borderId="5" xfId="8" applyFont="1" applyBorder="1" applyAlignment="1">
      <alignment horizontal="center" vertical="center"/>
    </xf>
    <xf numFmtId="9" fontId="9" fillId="0" borderId="5" xfId="8" applyFont="1" applyBorder="1" applyAlignment="1">
      <alignment horizontal="center" vertical="center"/>
    </xf>
    <xf numFmtId="0" fontId="8" fillId="0" borderId="14" xfId="6" applyFont="1" applyBorder="1" applyAlignment="1">
      <alignment horizontal="left" vertical="center"/>
    </xf>
    <xf numFmtId="3" fontId="8" fillId="0" borderId="14" xfId="6" applyNumberFormat="1" applyFont="1" applyBorder="1" applyAlignment="1">
      <alignment horizontal="center" vertical="center"/>
    </xf>
    <xf numFmtId="3" fontId="8" fillId="0" borderId="0" xfId="6" applyNumberFormat="1" applyFont="1" applyAlignment="1">
      <alignment horizontal="center" vertical="center"/>
    </xf>
    <xf numFmtId="9" fontId="8" fillId="0" borderId="14" xfId="8" applyFont="1" applyFill="1" applyBorder="1" applyAlignment="1">
      <alignment horizontal="center" vertical="center"/>
    </xf>
    <xf numFmtId="3" fontId="3" fillId="0" borderId="0" xfId="6" applyNumberFormat="1" applyAlignment="1">
      <alignment horizontal="left" vertical="center"/>
    </xf>
    <xf numFmtId="3" fontId="3" fillId="0" borderId="0" xfId="6" applyNumberFormat="1" applyAlignment="1">
      <alignment vertical="center"/>
    </xf>
    <xf numFmtId="193" fontId="3" fillId="0" borderId="0" xfId="1" applyNumberFormat="1" applyFont="1" applyAlignment="1">
      <alignment vertical="center"/>
    </xf>
    <xf numFmtId="164" fontId="3" fillId="0" borderId="0" xfId="6" applyNumberFormat="1" applyAlignment="1">
      <alignment vertical="center"/>
    </xf>
    <xf numFmtId="167" fontId="3" fillId="0" borderId="0" xfId="6" applyNumberFormat="1" applyAlignment="1">
      <alignment vertical="center"/>
    </xf>
    <xf numFmtId="0" fontId="8" fillId="3" borderId="5" xfId="0" quotePrefix="1" applyFont="1" applyFill="1" applyBorder="1" applyAlignment="1">
      <alignment horizontal="center" vertical="center"/>
    </xf>
    <xf numFmtId="0" fontId="8" fillId="0" borderId="28" xfId="0" quotePrefix="1" applyFont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" fontId="12" fillId="3" borderId="28" xfId="0" applyNumberFormat="1" applyFont="1" applyFill="1" applyBorder="1" applyAlignment="1">
      <alignment horizontal="center" vertical="center"/>
    </xf>
    <xf numFmtId="1" fontId="12" fillId="0" borderId="5" xfId="0" applyNumberFormat="1" applyFont="1" applyFill="1" applyBorder="1" applyAlignment="1">
      <alignment horizontal="center" vertical="center"/>
    </xf>
    <xf numFmtId="9" fontId="9" fillId="3" borderId="3" xfId="1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0" borderId="0" xfId="6" applyFont="1" applyAlignment="1">
      <alignment horizontal="center" vertical="center"/>
    </xf>
    <xf numFmtId="164" fontId="69" fillId="0" borderId="0" xfId="0" applyNumberFormat="1" applyFont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189" fontId="12" fillId="3" borderId="34" xfId="0" applyNumberFormat="1" applyFont="1" applyFill="1" applyBorder="1" applyAlignment="1">
      <alignment horizontal="center" vertical="center"/>
    </xf>
    <xf numFmtId="189" fontId="12" fillId="0" borderId="12" xfId="0" applyNumberFormat="1" applyFont="1" applyFill="1" applyBorder="1" applyAlignment="1">
      <alignment horizontal="center" vertical="center" wrapText="1"/>
    </xf>
    <xf numFmtId="1" fontId="12" fillId="0" borderId="8" xfId="0" applyNumberFormat="1" applyFont="1" applyFill="1" applyBorder="1" applyAlignment="1">
      <alignment horizontal="center" vertical="center"/>
    </xf>
    <xf numFmtId="1" fontId="11" fillId="0" borderId="8" xfId="0" applyNumberFormat="1" applyFont="1" applyFill="1" applyBorder="1" applyAlignment="1">
      <alignment horizontal="center" vertical="center"/>
    </xf>
    <xf numFmtId="49" fontId="5" fillId="3" borderId="0" xfId="0" applyNumberFormat="1" applyFont="1" applyFill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5" fillId="3" borderId="0" xfId="0" quotePrefix="1" applyFont="1" applyFill="1" applyAlignment="1">
      <alignment horizontal="center" vertical="center"/>
    </xf>
    <xf numFmtId="0" fontId="8" fillId="3" borderId="31" xfId="0" applyFont="1" applyFill="1" applyBorder="1" applyAlignment="1">
      <alignment horizontal="center" vertical="center"/>
    </xf>
    <xf numFmtId="0" fontId="8" fillId="3" borderId="32" xfId="0" applyFont="1" applyFill="1" applyBorder="1" applyAlignment="1">
      <alignment horizontal="center" vertical="center"/>
    </xf>
    <xf numFmtId="17" fontId="8" fillId="3" borderId="31" xfId="0" quotePrefix="1" applyNumberFormat="1" applyFont="1" applyFill="1" applyBorder="1" applyAlignment="1">
      <alignment horizontal="center" vertical="center"/>
    </xf>
    <xf numFmtId="17" fontId="8" fillId="3" borderId="32" xfId="0" quotePrefix="1" applyNumberFormat="1" applyFont="1" applyFill="1" applyBorder="1" applyAlignment="1">
      <alignment horizontal="center" vertical="center"/>
    </xf>
    <xf numFmtId="17" fontId="8" fillId="3" borderId="34" xfId="0" quotePrefix="1" applyNumberFormat="1" applyFont="1" applyFill="1" applyBorder="1" applyAlignment="1">
      <alignment horizontal="center" vertical="center"/>
    </xf>
    <xf numFmtId="49" fontId="8" fillId="3" borderId="33" xfId="0" applyNumberFormat="1" applyFont="1" applyFill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8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3" fillId="3" borderId="6" xfId="1268" applyFont="1" applyFill="1" applyBorder="1" applyAlignment="1">
      <alignment horizontal="center" vertical="center"/>
    </xf>
    <xf numFmtId="0" fontId="3" fillId="3" borderId="5" xfId="1268" applyFont="1" applyFill="1" applyBorder="1" applyAlignment="1">
      <alignment horizontal="center" vertical="center"/>
    </xf>
    <xf numFmtId="0" fontId="3" fillId="3" borderId="9" xfId="1268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3" borderId="14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7" fillId="0" borderId="28" xfId="0" applyFont="1" applyFill="1" applyBorder="1" applyAlignment="1">
      <alignment horizontal="center" vertical="center"/>
    </xf>
    <xf numFmtId="0" fontId="24" fillId="0" borderId="0" xfId="0" applyFont="1" applyFill="1" applyAlignment="1">
      <alignment horizontal="left" wrapText="1"/>
    </xf>
    <xf numFmtId="0" fontId="24" fillId="0" borderId="0" xfId="0" applyFont="1" applyFill="1" applyBorder="1" applyAlignment="1">
      <alignment horizontal="left" vertical="center" wrapText="1"/>
    </xf>
    <xf numFmtId="0" fontId="25" fillId="0" borderId="0" xfId="0" applyFont="1" applyAlignment="1">
      <alignment horizontal="center" vertical="center" wrapText="1"/>
    </xf>
    <xf numFmtId="17" fontId="8" fillId="2" borderId="3" xfId="0" quotePrefix="1" applyNumberFormat="1" applyFont="1" applyFill="1" applyBorder="1" applyAlignment="1">
      <alignment horizontal="center" vertical="center" wrapText="1"/>
    </xf>
    <xf numFmtId="49" fontId="8" fillId="2" borderId="4" xfId="0" applyNumberFormat="1" applyFont="1" applyFill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0" fontId="26" fillId="0" borderId="15" xfId="0" applyFont="1" applyBorder="1" applyAlignment="1">
      <alignment horizontal="center" vertical="center" wrapText="1"/>
    </xf>
    <xf numFmtId="0" fontId="26" fillId="0" borderId="13" xfId="0" applyFont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/>
    </xf>
    <xf numFmtId="0" fontId="24" fillId="0" borderId="6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6" fillId="0" borderId="0" xfId="0" applyFont="1" applyFill="1" applyBorder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26" fillId="0" borderId="15" xfId="0" applyFont="1" applyBorder="1" applyAlignment="1">
      <alignment horizontal="center" vertical="center"/>
    </xf>
    <xf numFmtId="0" fontId="26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0" xfId="6" quotePrefix="1" applyFont="1" applyAlignment="1">
      <alignment horizontal="center" vertical="center"/>
    </xf>
    <xf numFmtId="0" fontId="5" fillId="0" borderId="0" xfId="6" applyFont="1" applyAlignment="1">
      <alignment horizontal="center" vertical="center"/>
    </xf>
    <xf numFmtId="0" fontId="8" fillId="2" borderId="28" xfId="21" quotePrefix="1" applyFont="1" applyFill="1" applyBorder="1" applyAlignment="1">
      <alignment horizontal="center" vertical="center" wrapText="1"/>
    </xf>
    <xf numFmtId="0" fontId="8" fillId="2" borderId="9" xfId="21" applyFont="1" applyFill="1" applyBorder="1" applyAlignment="1">
      <alignment horizontal="center" vertical="center" wrapText="1"/>
    </xf>
  </cellXfs>
  <cellStyles count="1746">
    <cellStyle name="??" xfId="29" xr:uid="{00000000-0005-0000-0000-000000000000}"/>
    <cellStyle name="?? [0.00]_PERSONAL" xfId="30" xr:uid="{00000000-0005-0000-0000-000001000000}"/>
    <cellStyle name="?? 10" xfId="31" xr:uid="{00000000-0005-0000-0000-000002000000}"/>
    <cellStyle name="?? 11" xfId="32" xr:uid="{00000000-0005-0000-0000-000003000000}"/>
    <cellStyle name="?? 12" xfId="33" xr:uid="{00000000-0005-0000-0000-000004000000}"/>
    <cellStyle name="?? 13" xfId="34" xr:uid="{00000000-0005-0000-0000-000005000000}"/>
    <cellStyle name="?? 14" xfId="35" xr:uid="{00000000-0005-0000-0000-000006000000}"/>
    <cellStyle name="?? 15" xfId="36" xr:uid="{00000000-0005-0000-0000-000007000000}"/>
    <cellStyle name="?? 16" xfId="37" xr:uid="{00000000-0005-0000-0000-000008000000}"/>
    <cellStyle name="?? 17" xfId="38" xr:uid="{00000000-0005-0000-0000-000009000000}"/>
    <cellStyle name="?? 18" xfId="39" xr:uid="{00000000-0005-0000-0000-00000A000000}"/>
    <cellStyle name="?? 19" xfId="40" xr:uid="{00000000-0005-0000-0000-00000B000000}"/>
    <cellStyle name="?? 2" xfId="41" xr:uid="{00000000-0005-0000-0000-00000C000000}"/>
    <cellStyle name="?? 20" xfId="42" xr:uid="{00000000-0005-0000-0000-00000D000000}"/>
    <cellStyle name="?? 21" xfId="43" xr:uid="{00000000-0005-0000-0000-00000E000000}"/>
    <cellStyle name="?? 22" xfId="44" xr:uid="{00000000-0005-0000-0000-00000F000000}"/>
    <cellStyle name="?? 23" xfId="45" xr:uid="{00000000-0005-0000-0000-000010000000}"/>
    <cellStyle name="?? 24" xfId="46" xr:uid="{00000000-0005-0000-0000-000011000000}"/>
    <cellStyle name="?? 25" xfId="47" xr:uid="{00000000-0005-0000-0000-000012000000}"/>
    <cellStyle name="?? 26" xfId="48" xr:uid="{00000000-0005-0000-0000-000013000000}"/>
    <cellStyle name="?? 27" xfId="49" xr:uid="{00000000-0005-0000-0000-000014000000}"/>
    <cellStyle name="?? 28" xfId="50" xr:uid="{00000000-0005-0000-0000-000015000000}"/>
    <cellStyle name="?? 29" xfId="51" xr:uid="{00000000-0005-0000-0000-000016000000}"/>
    <cellStyle name="?? 3" xfId="52" xr:uid="{00000000-0005-0000-0000-000017000000}"/>
    <cellStyle name="?? 4" xfId="53" xr:uid="{00000000-0005-0000-0000-000018000000}"/>
    <cellStyle name="?? 5" xfId="54" xr:uid="{00000000-0005-0000-0000-000019000000}"/>
    <cellStyle name="?? 6" xfId="55" xr:uid="{00000000-0005-0000-0000-00001A000000}"/>
    <cellStyle name="?? 7" xfId="56" xr:uid="{00000000-0005-0000-0000-00001B000000}"/>
    <cellStyle name="?? 8" xfId="57" xr:uid="{00000000-0005-0000-0000-00001C000000}"/>
    <cellStyle name="?? 9" xfId="58" xr:uid="{00000000-0005-0000-0000-00001D000000}"/>
    <cellStyle name="???? [0.00]_PERSONAL" xfId="59" xr:uid="{00000000-0005-0000-0000-00001E000000}"/>
    <cellStyle name="????_PERSONAL" xfId="60" xr:uid="{00000000-0005-0000-0000-00001F000000}"/>
    <cellStyle name="??_PERSONAL" xfId="61" xr:uid="{00000000-0005-0000-0000-000020000000}"/>
    <cellStyle name="=C:\WINNT35\SYSTEM32\COMMAND.COM" xfId="62" xr:uid="{00000000-0005-0000-0000-000021000000}"/>
    <cellStyle name="=C:\WINNT35\SYSTEM32\COMMAND.COM 10 5" xfId="19" xr:uid="{00000000-0005-0000-0000-000022000000}"/>
    <cellStyle name="=C:\WINNT35\SYSTEM32\COMMAND.COM 2" xfId="11" xr:uid="{00000000-0005-0000-0000-000023000000}"/>
    <cellStyle name="=C:\WINNT35\SYSTEM32\COMMAND.COM 2 2" xfId="17" xr:uid="{00000000-0005-0000-0000-000024000000}"/>
    <cellStyle name="=C:\WINNT35\SYSTEM32\COMMAND.COM 3" xfId="5" xr:uid="{00000000-0005-0000-0000-000025000000}"/>
    <cellStyle name="=C:\WINNT35\SYSTEM32\COMMAND.COM 4" xfId="63" xr:uid="{00000000-0005-0000-0000-000026000000}"/>
    <cellStyle name="20 % - Accent1 10" xfId="64" xr:uid="{00000000-0005-0000-0000-000027000000}"/>
    <cellStyle name="20 % - Accent1 10 2" xfId="65" xr:uid="{00000000-0005-0000-0000-000028000000}"/>
    <cellStyle name="20 % - Accent1 11" xfId="66" xr:uid="{00000000-0005-0000-0000-000029000000}"/>
    <cellStyle name="20 % - Accent1 11 2" xfId="67" xr:uid="{00000000-0005-0000-0000-00002A000000}"/>
    <cellStyle name="20 % - Accent1 12" xfId="68" xr:uid="{00000000-0005-0000-0000-00002B000000}"/>
    <cellStyle name="20 % - Accent1 12 2" xfId="69" xr:uid="{00000000-0005-0000-0000-00002C000000}"/>
    <cellStyle name="20 % - Accent1 13" xfId="70" xr:uid="{00000000-0005-0000-0000-00002D000000}"/>
    <cellStyle name="20 % - Accent1 13 2" xfId="71" xr:uid="{00000000-0005-0000-0000-00002E000000}"/>
    <cellStyle name="20 % - Accent1 14" xfId="72" xr:uid="{00000000-0005-0000-0000-00002F000000}"/>
    <cellStyle name="20 % - Accent1 14 2" xfId="73" xr:uid="{00000000-0005-0000-0000-000030000000}"/>
    <cellStyle name="20 % - Accent1 15" xfId="74" xr:uid="{00000000-0005-0000-0000-000031000000}"/>
    <cellStyle name="20 % - Accent1 15 2" xfId="75" xr:uid="{00000000-0005-0000-0000-000032000000}"/>
    <cellStyle name="20 % - Accent1 16" xfId="76" xr:uid="{00000000-0005-0000-0000-000033000000}"/>
    <cellStyle name="20 % - Accent1 16 2" xfId="77" xr:uid="{00000000-0005-0000-0000-000034000000}"/>
    <cellStyle name="20 % - Accent1 17" xfId="78" xr:uid="{00000000-0005-0000-0000-000035000000}"/>
    <cellStyle name="20 % - Accent1 17 2" xfId="79" xr:uid="{00000000-0005-0000-0000-000036000000}"/>
    <cellStyle name="20 % - Accent1 18" xfId="80" xr:uid="{00000000-0005-0000-0000-000037000000}"/>
    <cellStyle name="20 % - Accent1 18 2" xfId="81" xr:uid="{00000000-0005-0000-0000-000038000000}"/>
    <cellStyle name="20 % - Accent1 19" xfId="82" xr:uid="{00000000-0005-0000-0000-000039000000}"/>
    <cellStyle name="20 % - Accent1 19 2" xfId="83" xr:uid="{00000000-0005-0000-0000-00003A000000}"/>
    <cellStyle name="20 % - Accent1 2" xfId="84" xr:uid="{00000000-0005-0000-0000-00003B000000}"/>
    <cellStyle name="20 % - Accent1 2 2" xfId="85" xr:uid="{00000000-0005-0000-0000-00003C000000}"/>
    <cellStyle name="20 % - Accent1 3" xfId="86" xr:uid="{00000000-0005-0000-0000-00003D000000}"/>
    <cellStyle name="20 % - Accent1 3 2" xfId="87" xr:uid="{00000000-0005-0000-0000-00003E000000}"/>
    <cellStyle name="20 % - Accent1 4" xfId="88" xr:uid="{00000000-0005-0000-0000-00003F000000}"/>
    <cellStyle name="20 % - Accent1 4 2" xfId="89" xr:uid="{00000000-0005-0000-0000-000040000000}"/>
    <cellStyle name="20 % - Accent1 5" xfId="90" xr:uid="{00000000-0005-0000-0000-000041000000}"/>
    <cellStyle name="20 % - Accent1 5 2" xfId="91" xr:uid="{00000000-0005-0000-0000-000042000000}"/>
    <cellStyle name="20 % - Accent1 6" xfId="92" xr:uid="{00000000-0005-0000-0000-000043000000}"/>
    <cellStyle name="20 % - Accent1 6 2" xfId="93" xr:uid="{00000000-0005-0000-0000-000044000000}"/>
    <cellStyle name="20 % - Accent1 7" xfId="94" xr:uid="{00000000-0005-0000-0000-000045000000}"/>
    <cellStyle name="20 % - Accent1 7 2" xfId="95" xr:uid="{00000000-0005-0000-0000-000046000000}"/>
    <cellStyle name="20 % - Accent1 8" xfId="96" xr:uid="{00000000-0005-0000-0000-000047000000}"/>
    <cellStyle name="20 % - Accent1 8 2" xfId="97" xr:uid="{00000000-0005-0000-0000-000048000000}"/>
    <cellStyle name="20 % - Accent1 9" xfId="98" xr:uid="{00000000-0005-0000-0000-000049000000}"/>
    <cellStyle name="20 % - Accent1 9 2" xfId="99" xr:uid="{00000000-0005-0000-0000-00004A000000}"/>
    <cellStyle name="20 % - Accent2 10" xfId="100" xr:uid="{00000000-0005-0000-0000-00004B000000}"/>
    <cellStyle name="20 % - Accent2 10 2" xfId="101" xr:uid="{00000000-0005-0000-0000-00004C000000}"/>
    <cellStyle name="20 % - Accent2 11" xfId="102" xr:uid="{00000000-0005-0000-0000-00004D000000}"/>
    <cellStyle name="20 % - Accent2 11 2" xfId="103" xr:uid="{00000000-0005-0000-0000-00004E000000}"/>
    <cellStyle name="20 % - Accent2 12" xfId="104" xr:uid="{00000000-0005-0000-0000-00004F000000}"/>
    <cellStyle name="20 % - Accent2 12 2" xfId="105" xr:uid="{00000000-0005-0000-0000-000050000000}"/>
    <cellStyle name="20 % - Accent2 13" xfId="106" xr:uid="{00000000-0005-0000-0000-000051000000}"/>
    <cellStyle name="20 % - Accent2 13 2" xfId="107" xr:uid="{00000000-0005-0000-0000-000052000000}"/>
    <cellStyle name="20 % - Accent2 14" xfId="108" xr:uid="{00000000-0005-0000-0000-000053000000}"/>
    <cellStyle name="20 % - Accent2 14 2" xfId="109" xr:uid="{00000000-0005-0000-0000-000054000000}"/>
    <cellStyle name="20 % - Accent2 15" xfId="110" xr:uid="{00000000-0005-0000-0000-000055000000}"/>
    <cellStyle name="20 % - Accent2 15 2" xfId="111" xr:uid="{00000000-0005-0000-0000-000056000000}"/>
    <cellStyle name="20 % - Accent2 16" xfId="112" xr:uid="{00000000-0005-0000-0000-000057000000}"/>
    <cellStyle name="20 % - Accent2 16 2" xfId="113" xr:uid="{00000000-0005-0000-0000-000058000000}"/>
    <cellStyle name="20 % - Accent2 17" xfId="114" xr:uid="{00000000-0005-0000-0000-000059000000}"/>
    <cellStyle name="20 % - Accent2 17 2" xfId="115" xr:uid="{00000000-0005-0000-0000-00005A000000}"/>
    <cellStyle name="20 % - Accent2 18" xfId="116" xr:uid="{00000000-0005-0000-0000-00005B000000}"/>
    <cellStyle name="20 % - Accent2 18 2" xfId="117" xr:uid="{00000000-0005-0000-0000-00005C000000}"/>
    <cellStyle name="20 % - Accent2 19" xfId="118" xr:uid="{00000000-0005-0000-0000-00005D000000}"/>
    <cellStyle name="20 % - Accent2 19 2" xfId="119" xr:uid="{00000000-0005-0000-0000-00005E000000}"/>
    <cellStyle name="20 % - Accent2 2" xfId="120" xr:uid="{00000000-0005-0000-0000-00005F000000}"/>
    <cellStyle name="20 % - Accent2 2 2" xfId="121" xr:uid="{00000000-0005-0000-0000-000060000000}"/>
    <cellStyle name="20 % - Accent2 3" xfId="122" xr:uid="{00000000-0005-0000-0000-000061000000}"/>
    <cellStyle name="20 % - Accent2 3 2" xfId="123" xr:uid="{00000000-0005-0000-0000-000062000000}"/>
    <cellStyle name="20 % - Accent2 4" xfId="124" xr:uid="{00000000-0005-0000-0000-000063000000}"/>
    <cellStyle name="20 % - Accent2 4 2" xfId="125" xr:uid="{00000000-0005-0000-0000-000064000000}"/>
    <cellStyle name="20 % - Accent2 5" xfId="126" xr:uid="{00000000-0005-0000-0000-000065000000}"/>
    <cellStyle name="20 % - Accent2 5 2" xfId="127" xr:uid="{00000000-0005-0000-0000-000066000000}"/>
    <cellStyle name="20 % - Accent2 6" xfId="128" xr:uid="{00000000-0005-0000-0000-000067000000}"/>
    <cellStyle name="20 % - Accent2 6 2" xfId="129" xr:uid="{00000000-0005-0000-0000-000068000000}"/>
    <cellStyle name="20 % - Accent2 7" xfId="130" xr:uid="{00000000-0005-0000-0000-000069000000}"/>
    <cellStyle name="20 % - Accent2 7 2" xfId="131" xr:uid="{00000000-0005-0000-0000-00006A000000}"/>
    <cellStyle name="20 % - Accent2 8" xfId="132" xr:uid="{00000000-0005-0000-0000-00006B000000}"/>
    <cellStyle name="20 % - Accent2 8 2" xfId="133" xr:uid="{00000000-0005-0000-0000-00006C000000}"/>
    <cellStyle name="20 % - Accent2 9" xfId="134" xr:uid="{00000000-0005-0000-0000-00006D000000}"/>
    <cellStyle name="20 % - Accent2 9 2" xfId="135" xr:uid="{00000000-0005-0000-0000-00006E000000}"/>
    <cellStyle name="20 % - Accent3 10" xfId="136" xr:uid="{00000000-0005-0000-0000-00006F000000}"/>
    <cellStyle name="20 % - Accent3 10 2" xfId="137" xr:uid="{00000000-0005-0000-0000-000070000000}"/>
    <cellStyle name="20 % - Accent3 11" xfId="138" xr:uid="{00000000-0005-0000-0000-000071000000}"/>
    <cellStyle name="20 % - Accent3 11 2" xfId="139" xr:uid="{00000000-0005-0000-0000-000072000000}"/>
    <cellStyle name="20 % - Accent3 12" xfId="140" xr:uid="{00000000-0005-0000-0000-000073000000}"/>
    <cellStyle name="20 % - Accent3 12 2" xfId="141" xr:uid="{00000000-0005-0000-0000-000074000000}"/>
    <cellStyle name="20 % - Accent3 13" xfId="142" xr:uid="{00000000-0005-0000-0000-000075000000}"/>
    <cellStyle name="20 % - Accent3 13 2" xfId="143" xr:uid="{00000000-0005-0000-0000-000076000000}"/>
    <cellStyle name="20 % - Accent3 14" xfId="144" xr:uid="{00000000-0005-0000-0000-000077000000}"/>
    <cellStyle name="20 % - Accent3 14 2" xfId="145" xr:uid="{00000000-0005-0000-0000-000078000000}"/>
    <cellStyle name="20 % - Accent3 15" xfId="146" xr:uid="{00000000-0005-0000-0000-000079000000}"/>
    <cellStyle name="20 % - Accent3 15 2" xfId="147" xr:uid="{00000000-0005-0000-0000-00007A000000}"/>
    <cellStyle name="20 % - Accent3 16" xfId="148" xr:uid="{00000000-0005-0000-0000-00007B000000}"/>
    <cellStyle name="20 % - Accent3 16 2" xfId="149" xr:uid="{00000000-0005-0000-0000-00007C000000}"/>
    <cellStyle name="20 % - Accent3 17" xfId="150" xr:uid="{00000000-0005-0000-0000-00007D000000}"/>
    <cellStyle name="20 % - Accent3 17 2" xfId="151" xr:uid="{00000000-0005-0000-0000-00007E000000}"/>
    <cellStyle name="20 % - Accent3 18" xfId="152" xr:uid="{00000000-0005-0000-0000-00007F000000}"/>
    <cellStyle name="20 % - Accent3 18 2" xfId="153" xr:uid="{00000000-0005-0000-0000-000080000000}"/>
    <cellStyle name="20 % - Accent3 19" xfId="154" xr:uid="{00000000-0005-0000-0000-000081000000}"/>
    <cellStyle name="20 % - Accent3 19 2" xfId="155" xr:uid="{00000000-0005-0000-0000-000082000000}"/>
    <cellStyle name="20 % - Accent3 2" xfId="156" xr:uid="{00000000-0005-0000-0000-000083000000}"/>
    <cellStyle name="20 % - Accent3 2 2" xfId="157" xr:uid="{00000000-0005-0000-0000-000084000000}"/>
    <cellStyle name="20 % - Accent3 3" xfId="158" xr:uid="{00000000-0005-0000-0000-000085000000}"/>
    <cellStyle name="20 % - Accent3 3 2" xfId="159" xr:uid="{00000000-0005-0000-0000-000086000000}"/>
    <cellStyle name="20 % - Accent3 4" xfId="160" xr:uid="{00000000-0005-0000-0000-000087000000}"/>
    <cellStyle name="20 % - Accent3 4 2" xfId="161" xr:uid="{00000000-0005-0000-0000-000088000000}"/>
    <cellStyle name="20 % - Accent3 5" xfId="162" xr:uid="{00000000-0005-0000-0000-000089000000}"/>
    <cellStyle name="20 % - Accent3 5 2" xfId="163" xr:uid="{00000000-0005-0000-0000-00008A000000}"/>
    <cellStyle name="20 % - Accent3 6" xfId="164" xr:uid="{00000000-0005-0000-0000-00008B000000}"/>
    <cellStyle name="20 % - Accent3 6 2" xfId="165" xr:uid="{00000000-0005-0000-0000-00008C000000}"/>
    <cellStyle name="20 % - Accent3 7" xfId="166" xr:uid="{00000000-0005-0000-0000-00008D000000}"/>
    <cellStyle name="20 % - Accent3 7 2" xfId="167" xr:uid="{00000000-0005-0000-0000-00008E000000}"/>
    <cellStyle name="20 % - Accent3 8" xfId="168" xr:uid="{00000000-0005-0000-0000-00008F000000}"/>
    <cellStyle name="20 % - Accent3 8 2" xfId="169" xr:uid="{00000000-0005-0000-0000-000090000000}"/>
    <cellStyle name="20 % - Accent3 9" xfId="170" xr:uid="{00000000-0005-0000-0000-000091000000}"/>
    <cellStyle name="20 % - Accent3 9 2" xfId="171" xr:uid="{00000000-0005-0000-0000-000092000000}"/>
    <cellStyle name="20 % - Accent4 10" xfId="172" xr:uid="{00000000-0005-0000-0000-000093000000}"/>
    <cellStyle name="20 % - Accent4 10 2" xfId="173" xr:uid="{00000000-0005-0000-0000-000094000000}"/>
    <cellStyle name="20 % - Accent4 11" xfId="174" xr:uid="{00000000-0005-0000-0000-000095000000}"/>
    <cellStyle name="20 % - Accent4 11 2" xfId="175" xr:uid="{00000000-0005-0000-0000-000096000000}"/>
    <cellStyle name="20 % - Accent4 12" xfId="176" xr:uid="{00000000-0005-0000-0000-000097000000}"/>
    <cellStyle name="20 % - Accent4 12 2" xfId="177" xr:uid="{00000000-0005-0000-0000-000098000000}"/>
    <cellStyle name="20 % - Accent4 13" xfId="178" xr:uid="{00000000-0005-0000-0000-000099000000}"/>
    <cellStyle name="20 % - Accent4 13 2" xfId="179" xr:uid="{00000000-0005-0000-0000-00009A000000}"/>
    <cellStyle name="20 % - Accent4 14" xfId="180" xr:uid="{00000000-0005-0000-0000-00009B000000}"/>
    <cellStyle name="20 % - Accent4 14 2" xfId="181" xr:uid="{00000000-0005-0000-0000-00009C000000}"/>
    <cellStyle name="20 % - Accent4 15" xfId="182" xr:uid="{00000000-0005-0000-0000-00009D000000}"/>
    <cellStyle name="20 % - Accent4 15 2" xfId="183" xr:uid="{00000000-0005-0000-0000-00009E000000}"/>
    <cellStyle name="20 % - Accent4 16" xfId="184" xr:uid="{00000000-0005-0000-0000-00009F000000}"/>
    <cellStyle name="20 % - Accent4 16 2" xfId="185" xr:uid="{00000000-0005-0000-0000-0000A0000000}"/>
    <cellStyle name="20 % - Accent4 17" xfId="186" xr:uid="{00000000-0005-0000-0000-0000A1000000}"/>
    <cellStyle name="20 % - Accent4 17 2" xfId="187" xr:uid="{00000000-0005-0000-0000-0000A2000000}"/>
    <cellStyle name="20 % - Accent4 18" xfId="188" xr:uid="{00000000-0005-0000-0000-0000A3000000}"/>
    <cellStyle name="20 % - Accent4 18 2" xfId="189" xr:uid="{00000000-0005-0000-0000-0000A4000000}"/>
    <cellStyle name="20 % - Accent4 19" xfId="190" xr:uid="{00000000-0005-0000-0000-0000A5000000}"/>
    <cellStyle name="20 % - Accent4 19 2" xfId="191" xr:uid="{00000000-0005-0000-0000-0000A6000000}"/>
    <cellStyle name="20 % - Accent4 2" xfId="192" xr:uid="{00000000-0005-0000-0000-0000A7000000}"/>
    <cellStyle name="20 % - Accent4 2 2" xfId="193" xr:uid="{00000000-0005-0000-0000-0000A8000000}"/>
    <cellStyle name="20 % - Accent4 3" xfId="194" xr:uid="{00000000-0005-0000-0000-0000A9000000}"/>
    <cellStyle name="20 % - Accent4 3 2" xfId="195" xr:uid="{00000000-0005-0000-0000-0000AA000000}"/>
    <cellStyle name="20 % - Accent4 4" xfId="196" xr:uid="{00000000-0005-0000-0000-0000AB000000}"/>
    <cellStyle name="20 % - Accent4 4 2" xfId="197" xr:uid="{00000000-0005-0000-0000-0000AC000000}"/>
    <cellStyle name="20 % - Accent4 5" xfId="198" xr:uid="{00000000-0005-0000-0000-0000AD000000}"/>
    <cellStyle name="20 % - Accent4 5 2" xfId="199" xr:uid="{00000000-0005-0000-0000-0000AE000000}"/>
    <cellStyle name="20 % - Accent4 6" xfId="200" xr:uid="{00000000-0005-0000-0000-0000AF000000}"/>
    <cellStyle name="20 % - Accent4 6 2" xfId="201" xr:uid="{00000000-0005-0000-0000-0000B0000000}"/>
    <cellStyle name="20 % - Accent4 7" xfId="202" xr:uid="{00000000-0005-0000-0000-0000B1000000}"/>
    <cellStyle name="20 % - Accent4 7 2" xfId="203" xr:uid="{00000000-0005-0000-0000-0000B2000000}"/>
    <cellStyle name="20 % - Accent4 8" xfId="204" xr:uid="{00000000-0005-0000-0000-0000B3000000}"/>
    <cellStyle name="20 % - Accent4 8 2" xfId="205" xr:uid="{00000000-0005-0000-0000-0000B4000000}"/>
    <cellStyle name="20 % - Accent4 9" xfId="206" xr:uid="{00000000-0005-0000-0000-0000B5000000}"/>
    <cellStyle name="20 % - Accent4 9 2" xfId="207" xr:uid="{00000000-0005-0000-0000-0000B6000000}"/>
    <cellStyle name="20 % - Accent5 10" xfId="208" xr:uid="{00000000-0005-0000-0000-0000B7000000}"/>
    <cellStyle name="20 % - Accent5 10 2" xfId="209" xr:uid="{00000000-0005-0000-0000-0000B8000000}"/>
    <cellStyle name="20 % - Accent5 11" xfId="210" xr:uid="{00000000-0005-0000-0000-0000B9000000}"/>
    <cellStyle name="20 % - Accent5 11 2" xfId="211" xr:uid="{00000000-0005-0000-0000-0000BA000000}"/>
    <cellStyle name="20 % - Accent5 12" xfId="212" xr:uid="{00000000-0005-0000-0000-0000BB000000}"/>
    <cellStyle name="20 % - Accent5 12 2" xfId="213" xr:uid="{00000000-0005-0000-0000-0000BC000000}"/>
    <cellStyle name="20 % - Accent5 13" xfId="214" xr:uid="{00000000-0005-0000-0000-0000BD000000}"/>
    <cellStyle name="20 % - Accent5 13 2" xfId="215" xr:uid="{00000000-0005-0000-0000-0000BE000000}"/>
    <cellStyle name="20 % - Accent5 14" xfId="216" xr:uid="{00000000-0005-0000-0000-0000BF000000}"/>
    <cellStyle name="20 % - Accent5 14 2" xfId="217" xr:uid="{00000000-0005-0000-0000-0000C0000000}"/>
    <cellStyle name="20 % - Accent5 15" xfId="218" xr:uid="{00000000-0005-0000-0000-0000C1000000}"/>
    <cellStyle name="20 % - Accent5 15 2" xfId="219" xr:uid="{00000000-0005-0000-0000-0000C2000000}"/>
    <cellStyle name="20 % - Accent5 16" xfId="220" xr:uid="{00000000-0005-0000-0000-0000C3000000}"/>
    <cellStyle name="20 % - Accent5 16 2" xfId="221" xr:uid="{00000000-0005-0000-0000-0000C4000000}"/>
    <cellStyle name="20 % - Accent5 17" xfId="222" xr:uid="{00000000-0005-0000-0000-0000C5000000}"/>
    <cellStyle name="20 % - Accent5 17 2" xfId="223" xr:uid="{00000000-0005-0000-0000-0000C6000000}"/>
    <cellStyle name="20 % - Accent5 18" xfId="224" xr:uid="{00000000-0005-0000-0000-0000C7000000}"/>
    <cellStyle name="20 % - Accent5 18 2" xfId="225" xr:uid="{00000000-0005-0000-0000-0000C8000000}"/>
    <cellStyle name="20 % - Accent5 19" xfId="226" xr:uid="{00000000-0005-0000-0000-0000C9000000}"/>
    <cellStyle name="20 % - Accent5 19 2" xfId="227" xr:uid="{00000000-0005-0000-0000-0000CA000000}"/>
    <cellStyle name="20 % - Accent5 2" xfId="228" xr:uid="{00000000-0005-0000-0000-0000CB000000}"/>
    <cellStyle name="20 % - Accent5 2 2" xfId="229" xr:uid="{00000000-0005-0000-0000-0000CC000000}"/>
    <cellStyle name="20 % - Accent5 3" xfId="230" xr:uid="{00000000-0005-0000-0000-0000CD000000}"/>
    <cellStyle name="20 % - Accent5 3 2" xfId="231" xr:uid="{00000000-0005-0000-0000-0000CE000000}"/>
    <cellStyle name="20 % - Accent5 4" xfId="232" xr:uid="{00000000-0005-0000-0000-0000CF000000}"/>
    <cellStyle name="20 % - Accent5 4 2" xfId="233" xr:uid="{00000000-0005-0000-0000-0000D0000000}"/>
    <cellStyle name="20 % - Accent5 5" xfId="234" xr:uid="{00000000-0005-0000-0000-0000D1000000}"/>
    <cellStyle name="20 % - Accent5 5 2" xfId="235" xr:uid="{00000000-0005-0000-0000-0000D2000000}"/>
    <cellStyle name="20 % - Accent5 6" xfId="236" xr:uid="{00000000-0005-0000-0000-0000D3000000}"/>
    <cellStyle name="20 % - Accent5 6 2" xfId="237" xr:uid="{00000000-0005-0000-0000-0000D4000000}"/>
    <cellStyle name="20 % - Accent5 7" xfId="238" xr:uid="{00000000-0005-0000-0000-0000D5000000}"/>
    <cellStyle name="20 % - Accent5 7 2" xfId="239" xr:uid="{00000000-0005-0000-0000-0000D6000000}"/>
    <cellStyle name="20 % - Accent5 8" xfId="240" xr:uid="{00000000-0005-0000-0000-0000D7000000}"/>
    <cellStyle name="20 % - Accent5 8 2" xfId="241" xr:uid="{00000000-0005-0000-0000-0000D8000000}"/>
    <cellStyle name="20 % - Accent5 9" xfId="242" xr:uid="{00000000-0005-0000-0000-0000D9000000}"/>
    <cellStyle name="20 % - Accent5 9 2" xfId="243" xr:uid="{00000000-0005-0000-0000-0000DA000000}"/>
    <cellStyle name="20 % - Accent6 10" xfId="244" xr:uid="{00000000-0005-0000-0000-0000DB000000}"/>
    <cellStyle name="20 % - Accent6 10 2" xfId="245" xr:uid="{00000000-0005-0000-0000-0000DC000000}"/>
    <cellStyle name="20 % - Accent6 11" xfId="246" xr:uid="{00000000-0005-0000-0000-0000DD000000}"/>
    <cellStyle name="20 % - Accent6 11 2" xfId="247" xr:uid="{00000000-0005-0000-0000-0000DE000000}"/>
    <cellStyle name="20 % - Accent6 12" xfId="248" xr:uid="{00000000-0005-0000-0000-0000DF000000}"/>
    <cellStyle name="20 % - Accent6 12 2" xfId="249" xr:uid="{00000000-0005-0000-0000-0000E0000000}"/>
    <cellStyle name="20 % - Accent6 13" xfId="250" xr:uid="{00000000-0005-0000-0000-0000E1000000}"/>
    <cellStyle name="20 % - Accent6 13 2" xfId="251" xr:uid="{00000000-0005-0000-0000-0000E2000000}"/>
    <cellStyle name="20 % - Accent6 14" xfId="252" xr:uid="{00000000-0005-0000-0000-0000E3000000}"/>
    <cellStyle name="20 % - Accent6 14 2" xfId="253" xr:uid="{00000000-0005-0000-0000-0000E4000000}"/>
    <cellStyle name="20 % - Accent6 15" xfId="254" xr:uid="{00000000-0005-0000-0000-0000E5000000}"/>
    <cellStyle name="20 % - Accent6 15 2" xfId="255" xr:uid="{00000000-0005-0000-0000-0000E6000000}"/>
    <cellStyle name="20 % - Accent6 16" xfId="256" xr:uid="{00000000-0005-0000-0000-0000E7000000}"/>
    <cellStyle name="20 % - Accent6 16 2" xfId="257" xr:uid="{00000000-0005-0000-0000-0000E8000000}"/>
    <cellStyle name="20 % - Accent6 17" xfId="258" xr:uid="{00000000-0005-0000-0000-0000E9000000}"/>
    <cellStyle name="20 % - Accent6 17 2" xfId="259" xr:uid="{00000000-0005-0000-0000-0000EA000000}"/>
    <cellStyle name="20 % - Accent6 18" xfId="260" xr:uid="{00000000-0005-0000-0000-0000EB000000}"/>
    <cellStyle name="20 % - Accent6 18 2" xfId="261" xr:uid="{00000000-0005-0000-0000-0000EC000000}"/>
    <cellStyle name="20 % - Accent6 19" xfId="262" xr:uid="{00000000-0005-0000-0000-0000ED000000}"/>
    <cellStyle name="20 % - Accent6 19 2" xfId="263" xr:uid="{00000000-0005-0000-0000-0000EE000000}"/>
    <cellStyle name="20 % - Accent6 2" xfId="264" xr:uid="{00000000-0005-0000-0000-0000EF000000}"/>
    <cellStyle name="20 % - Accent6 2 2" xfId="265" xr:uid="{00000000-0005-0000-0000-0000F0000000}"/>
    <cellStyle name="20 % - Accent6 3" xfId="266" xr:uid="{00000000-0005-0000-0000-0000F1000000}"/>
    <cellStyle name="20 % - Accent6 3 2" xfId="267" xr:uid="{00000000-0005-0000-0000-0000F2000000}"/>
    <cellStyle name="20 % - Accent6 4" xfId="268" xr:uid="{00000000-0005-0000-0000-0000F3000000}"/>
    <cellStyle name="20 % - Accent6 4 2" xfId="269" xr:uid="{00000000-0005-0000-0000-0000F4000000}"/>
    <cellStyle name="20 % - Accent6 5" xfId="270" xr:uid="{00000000-0005-0000-0000-0000F5000000}"/>
    <cellStyle name="20 % - Accent6 5 2" xfId="271" xr:uid="{00000000-0005-0000-0000-0000F6000000}"/>
    <cellStyle name="20 % - Accent6 6" xfId="272" xr:uid="{00000000-0005-0000-0000-0000F7000000}"/>
    <cellStyle name="20 % - Accent6 6 2" xfId="273" xr:uid="{00000000-0005-0000-0000-0000F8000000}"/>
    <cellStyle name="20 % - Accent6 7" xfId="274" xr:uid="{00000000-0005-0000-0000-0000F9000000}"/>
    <cellStyle name="20 % - Accent6 7 2" xfId="275" xr:uid="{00000000-0005-0000-0000-0000FA000000}"/>
    <cellStyle name="20 % - Accent6 8" xfId="276" xr:uid="{00000000-0005-0000-0000-0000FB000000}"/>
    <cellStyle name="20 % - Accent6 8 2" xfId="277" xr:uid="{00000000-0005-0000-0000-0000FC000000}"/>
    <cellStyle name="20 % - Accent6 9" xfId="278" xr:uid="{00000000-0005-0000-0000-0000FD000000}"/>
    <cellStyle name="20 % - Accent6 9 2" xfId="279" xr:uid="{00000000-0005-0000-0000-0000FE000000}"/>
    <cellStyle name="40 % - Accent1 10" xfId="280" xr:uid="{00000000-0005-0000-0000-0000FF000000}"/>
    <cellStyle name="40 % - Accent1 10 2" xfId="281" xr:uid="{00000000-0005-0000-0000-000000010000}"/>
    <cellStyle name="40 % - Accent1 11" xfId="282" xr:uid="{00000000-0005-0000-0000-000001010000}"/>
    <cellStyle name="40 % - Accent1 11 2" xfId="283" xr:uid="{00000000-0005-0000-0000-000002010000}"/>
    <cellStyle name="40 % - Accent1 12" xfId="284" xr:uid="{00000000-0005-0000-0000-000003010000}"/>
    <cellStyle name="40 % - Accent1 12 2" xfId="285" xr:uid="{00000000-0005-0000-0000-000004010000}"/>
    <cellStyle name="40 % - Accent1 13" xfId="286" xr:uid="{00000000-0005-0000-0000-000005010000}"/>
    <cellStyle name="40 % - Accent1 13 2" xfId="287" xr:uid="{00000000-0005-0000-0000-000006010000}"/>
    <cellStyle name="40 % - Accent1 14" xfId="288" xr:uid="{00000000-0005-0000-0000-000007010000}"/>
    <cellStyle name="40 % - Accent1 14 2" xfId="289" xr:uid="{00000000-0005-0000-0000-000008010000}"/>
    <cellStyle name="40 % - Accent1 15" xfId="290" xr:uid="{00000000-0005-0000-0000-000009010000}"/>
    <cellStyle name="40 % - Accent1 15 2" xfId="291" xr:uid="{00000000-0005-0000-0000-00000A010000}"/>
    <cellStyle name="40 % - Accent1 16" xfId="292" xr:uid="{00000000-0005-0000-0000-00000B010000}"/>
    <cellStyle name="40 % - Accent1 16 2" xfId="293" xr:uid="{00000000-0005-0000-0000-00000C010000}"/>
    <cellStyle name="40 % - Accent1 17" xfId="294" xr:uid="{00000000-0005-0000-0000-00000D010000}"/>
    <cellStyle name="40 % - Accent1 17 2" xfId="295" xr:uid="{00000000-0005-0000-0000-00000E010000}"/>
    <cellStyle name="40 % - Accent1 18" xfId="296" xr:uid="{00000000-0005-0000-0000-00000F010000}"/>
    <cellStyle name="40 % - Accent1 18 2" xfId="297" xr:uid="{00000000-0005-0000-0000-000010010000}"/>
    <cellStyle name="40 % - Accent1 19" xfId="298" xr:uid="{00000000-0005-0000-0000-000011010000}"/>
    <cellStyle name="40 % - Accent1 19 2" xfId="299" xr:uid="{00000000-0005-0000-0000-000012010000}"/>
    <cellStyle name="40 % - Accent1 2" xfId="300" xr:uid="{00000000-0005-0000-0000-000013010000}"/>
    <cellStyle name="40 % - Accent1 2 2" xfId="301" xr:uid="{00000000-0005-0000-0000-000014010000}"/>
    <cellStyle name="40 % - Accent1 3" xfId="302" xr:uid="{00000000-0005-0000-0000-000015010000}"/>
    <cellStyle name="40 % - Accent1 3 2" xfId="303" xr:uid="{00000000-0005-0000-0000-000016010000}"/>
    <cellStyle name="40 % - Accent1 4" xfId="304" xr:uid="{00000000-0005-0000-0000-000017010000}"/>
    <cellStyle name="40 % - Accent1 4 2" xfId="305" xr:uid="{00000000-0005-0000-0000-000018010000}"/>
    <cellStyle name="40 % - Accent1 5" xfId="306" xr:uid="{00000000-0005-0000-0000-000019010000}"/>
    <cellStyle name="40 % - Accent1 5 2" xfId="307" xr:uid="{00000000-0005-0000-0000-00001A010000}"/>
    <cellStyle name="40 % - Accent1 6" xfId="308" xr:uid="{00000000-0005-0000-0000-00001B010000}"/>
    <cellStyle name="40 % - Accent1 6 2" xfId="309" xr:uid="{00000000-0005-0000-0000-00001C010000}"/>
    <cellStyle name="40 % - Accent1 7" xfId="310" xr:uid="{00000000-0005-0000-0000-00001D010000}"/>
    <cellStyle name="40 % - Accent1 7 2" xfId="311" xr:uid="{00000000-0005-0000-0000-00001E010000}"/>
    <cellStyle name="40 % - Accent1 8" xfId="312" xr:uid="{00000000-0005-0000-0000-00001F010000}"/>
    <cellStyle name="40 % - Accent1 8 2" xfId="313" xr:uid="{00000000-0005-0000-0000-000020010000}"/>
    <cellStyle name="40 % - Accent1 9" xfId="314" xr:uid="{00000000-0005-0000-0000-000021010000}"/>
    <cellStyle name="40 % - Accent1 9 2" xfId="315" xr:uid="{00000000-0005-0000-0000-000022010000}"/>
    <cellStyle name="40 % - Accent2 10" xfId="316" xr:uid="{00000000-0005-0000-0000-000023010000}"/>
    <cellStyle name="40 % - Accent2 10 2" xfId="317" xr:uid="{00000000-0005-0000-0000-000024010000}"/>
    <cellStyle name="40 % - Accent2 11" xfId="318" xr:uid="{00000000-0005-0000-0000-000025010000}"/>
    <cellStyle name="40 % - Accent2 11 2" xfId="319" xr:uid="{00000000-0005-0000-0000-000026010000}"/>
    <cellStyle name="40 % - Accent2 12" xfId="320" xr:uid="{00000000-0005-0000-0000-000027010000}"/>
    <cellStyle name="40 % - Accent2 12 2" xfId="321" xr:uid="{00000000-0005-0000-0000-000028010000}"/>
    <cellStyle name="40 % - Accent2 13" xfId="322" xr:uid="{00000000-0005-0000-0000-000029010000}"/>
    <cellStyle name="40 % - Accent2 13 2" xfId="323" xr:uid="{00000000-0005-0000-0000-00002A010000}"/>
    <cellStyle name="40 % - Accent2 14" xfId="324" xr:uid="{00000000-0005-0000-0000-00002B010000}"/>
    <cellStyle name="40 % - Accent2 14 2" xfId="325" xr:uid="{00000000-0005-0000-0000-00002C010000}"/>
    <cellStyle name="40 % - Accent2 15" xfId="326" xr:uid="{00000000-0005-0000-0000-00002D010000}"/>
    <cellStyle name="40 % - Accent2 15 2" xfId="327" xr:uid="{00000000-0005-0000-0000-00002E010000}"/>
    <cellStyle name="40 % - Accent2 16" xfId="328" xr:uid="{00000000-0005-0000-0000-00002F010000}"/>
    <cellStyle name="40 % - Accent2 16 2" xfId="329" xr:uid="{00000000-0005-0000-0000-000030010000}"/>
    <cellStyle name="40 % - Accent2 17" xfId="330" xr:uid="{00000000-0005-0000-0000-000031010000}"/>
    <cellStyle name="40 % - Accent2 17 2" xfId="331" xr:uid="{00000000-0005-0000-0000-000032010000}"/>
    <cellStyle name="40 % - Accent2 18" xfId="332" xr:uid="{00000000-0005-0000-0000-000033010000}"/>
    <cellStyle name="40 % - Accent2 18 2" xfId="333" xr:uid="{00000000-0005-0000-0000-000034010000}"/>
    <cellStyle name="40 % - Accent2 19" xfId="334" xr:uid="{00000000-0005-0000-0000-000035010000}"/>
    <cellStyle name="40 % - Accent2 19 2" xfId="335" xr:uid="{00000000-0005-0000-0000-000036010000}"/>
    <cellStyle name="40 % - Accent2 2" xfId="336" xr:uid="{00000000-0005-0000-0000-000037010000}"/>
    <cellStyle name="40 % - Accent2 2 2" xfId="337" xr:uid="{00000000-0005-0000-0000-000038010000}"/>
    <cellStyle name="40 % - Accent2 3" xfId="338" xr:uid="{00000000-0005-0000-0000-000039010000}"/>
    <cellStyle name="40 % - Accent2 3 2" xfId="339" xr:uid="{00000000-0005-0000-0000-00003A010000}"/>
    <cellStyle name="40 % - Accent2 4" xfId="340" xr:uid="{00000000-0005-0000-0000-00003B010000}"/>
    <cellStyle name="40 % - Accent2 4 2" xfId="341" xr:uid="{00000000-0005-0000-0000-00003C010000}"/>
    <cellStyle name="40 % - Accent2 5" xfId="342" xr:uid="{00000000-0005-0000-0000-00003D010000}"/>
    <cellStyle name="40 % - Accent2 5 2" xfId="343" xr:uid="{00000000-0005-0000-0000-00003E010000}"/>
    <cellStyle name="40 % - Accent2 6" xfId="344" xr:uid="{00000000-0005-0000-0000-00003F010000}"/>
    <cellStyle name="40 % - Accent2 6 2" xfId="345" xr:uid="{00000000-0005-0000-0000-000040010000}"/>
    <cellStyle name="40 % - Accent2 7" xfId="346" xr:uid="{00000000-0005-0000-0000-000041010000}"/>
    <cellStyle name="40 % - Accent2 7 2" xfId="347" xr:uid="{00000000-0005-0000-0000-000042010000}"/>
    <cellStyle name="40 % - Accent2 8" xfId="348" xr:uid="{00000000-0005-0000-0000-000043010000}"/>
    <cellStyle name="40 % - Accent2 8 2" xfId="349" xr:uid="{00000000-0005-0000-0000-000044010000}"/>
    <cellStyle name="40 % - Accent2 9" xfId="350" xr:uid="{00000000-0005-0000-0000-000045010000}"/>
    <cellStyle name="40 % - Accent2 9 2" xfId="351" xr:uid="{00000000-0005-0000-0000-000046010000}"/>
    <cellStyle name="40 % - Accent3 10" xfId="352" xr:uid="{00000000-0005-0000-0000-000047010000}"/>
    <cellStyle name="40 % - Accent3 10 2" xfId="353" xr:uid="{00000000-0005-0000-0000-000048010000}"/>
    <cellStyle name="40 % - Accent3 11" xfId="354" xr:uid="{00000000-0005-0000-0000-000049010000}"/>
    <cellStyle name="40 % - Accent3 11 2" xfId="355" xr:uid="{00000000-0005-0000-0000-00004A010000}"/>
    <cellStyle name="40 % - Accent3 12" xfId="356" xr:uid="{00000000-0005-0000-0000-00004B010000}"/>
    <cellStyle name="40 % - Accent3 12 2" xfId="357" xr:uid="{00000000-0005-0000-0000-00004C010000}"/>
    <cellStyle name="40 % - Accent3 13" xfId="358" xr:uid="{00000000-0005-0000-0000-00004D010000}"/>
    <cellStyle name="40 % - Accent3 13 2" xfId="359" xr:uid="{00000000-0005-0000-0000-00004E010000}"/>
    <cellStyle name="40 % - Accent3 14" xfId="360" xr:uid="{00000000-0005-0000-0000-00004F010000}"/>
    <cellStyle name="40 % - Accent3 14 2" xfId="361" xr:uid="{00000000-0005-0000-0000-000050010000}"/>
    <cellStyle name="40 % - Accent3 15" xfId="362" xr:uid="{00000000-0005-0000-0000-000051010000}"/>
    <cellStyle name="40 % - Accent3 15 2" xfId="363" xr:uid="{00000000-0005-0000-0000-000052010000}"/>
    <cellStyle name="40 % - Accent3 16" xfId="364" xr:uid="{00000000-0005-0000-0000-000053010000}"/>
    <cellStyle name="40 % - Accent3 16 2" xfId="365" xr:uid="{00000000-0005-0000-0000-000054010000}"/>
    <cellStyle name="40 % - Accent3 17" xfId="366" xr:uid="{00000000-0005-0000-0000-000055010000}"/>
    <cellStyle name="40 % - Accent3 17 2" xfId="367" xr:uid="{00000000-0005-0000-0000-000056010000}"/>
    <cellStyle name="40 % - Accent3 18" xfId="368" xr:uid="{00000000-0005-0000-0000-000057010000}"/>
    <cellStyle name="40 % - Accent3 18 2" xfId="369" xr:uid="{00000000-0005-0000-0000-000058010000}"/>
    <cellStyle name="40 % - Accent3 19" xfId="370" xr:uid="{00000000-0005-0000-0000-000059010000}"/>
    <cellStyle name="40 % - Accent3 19 2" xfId="371" xr:uid="{00000000-0005-0000-0000-00005A010000}"/>
    <cellStyle name="40 % - Accent3 2" xfId="372" xr:uid="{00000000-0005-0000-0000-00005B010000}"/>
    <cellStyle name="40 % - Accent3 2 2" xfId="373" xr:uid="{00000000-0005-0000-0000-00005C010000}"/>
    <cellStyle name="40 % - Accent3 3" xfId="374" xr:uid="{00000000-0005-0000-0000-00005D010000}"/>
    <cellStyle name="40 % - Accent3 3 2" xfId="375" xr:uid="{00000000-0005-0000-0000-00005E010000}"/>
    <cellStyle name="40 % - Accent3 4" xfId="376" xr:uid="{00000000-0005-0000-0000-00005F010000}"/>
    <cellStyle name="40 % - Accent3 4 2" xfId="377" xr:uid="{00000000-0005-0000-0000-000060010000}"/>
    <cellStyle name="40 % - Accent3 5" xfId="378" xr:uid="{00000000-0005-0000-0000-000061010000}"/>
    <cellStyle name="40 % - Accent3 5 2" xfId="379" xr:uid="{00000000-0005-0000-0000-000062010000}"/>
    <cellStyle name="40 % - Accent3 6" xfId="380" xr:uid="{00000000-0005-0000-0000-000063010000}"/>
    <cellStyle name="40 % - Accent3 6 2" xfId="381" xr:uid="{00000000-0005-0000-0000-000064010000}"/>
    <cellStyle name="40 % - Accent3 7" xfId="382" xr:uid="{00000000-0005-0000-0000-000065010000}"/>
    <cellStyle name="40 % - Accent3 7 2" xfId="383" xr:uid="{00000000-0005-0000-0000-000066010000}"/>
    <cellStyle name="40 % - Accent3 8" xfId="384" xr:uid="{00000000-0005-0000-0000-000067010000}"/>
    <cellStyle name="40 % - Accent3 8 2" xfId="385" xr:uid="{00000000-0005-0000-0000-000068010000}"/>
    <cellStyle name="40 % - Accent3 9" xfId="386" xr:uid="{00000000-0005-0000-0000-000069010000}"/>
    <cellStyle name="40 % - Accent3 9 2" xfId="387" xr:uid="{00000000-0005-0000-0000-00006A010000}"/>
    <cellStyle name="40 % - Accent4 10" xfId="388" xr:uid="{00000000-0005-0000-0000-00006B010000}"/>
    <cellStyle name="40 % - Accent4 10 2" xfId="389" xr:uid="{00000000-0005-0000-0000-00006C010000}"/>
    <cellStyle name="40 % - Accent4 11" xfId="390" xr:uid="{00000000-0005-0000-0000-00006D010000}"/>
    <cellStyle name="40 % - Accent4 11 2" xfId="391" xr:uid="{00000000-0005-0000-0000-00006E010000}"/>
    <cellStyle name="40 % - Accent4 12" xfId="392" xr:uid="{00000000-0005-0000-0000-00006F010000}"/>
    <cellStyle name="40 % - Accent4 12 2" xfId="393" xr:uid="{00000000-0005-0000-0000-000070010000}"/>
    <cellStyle name="40 % - Accent4 13" xfId="394" xr:uid="{00000000-0005-0000-0000-000071010000}"/>
    <cellStyle name="40 % - Accent4 13 2" xfId="395" xr:uid="{00000000-0005-0000-0000-000072010000}"/>
    <cellStyle name="40 % - Accent4 14" xfId="396" xr:uid="{00000000-0005-0000-0000-000073010000}"/>
    <cellStyle name="40 % - Accent4 14 2" xfId="397" xr:uid="{00000000-0005-0000-0000-000074010000}"/>
    <cellStyle name="40 % - Accent4 15" xfId="398" xr:uid="{00000000-0005-0000-0000-000075010000}"/>
    <cellStyle name="40 % - Accent4 15 2" xfId="399" xr:uid="{00000000-0005-0000-0000-000076010000}"/>
    <cellStyle name="40 % - Accent4 16" xfId="400" xr:uid="{00000000-0005-0000-0000-000077010000}"/>
    <cellStyle name="40 % - Accent4 16 2" xfId="401" xr:uid="{00000000-0005-0000-0000-000078010000}"/>
    <cellStyle name="40 % - Accent4 17" xfId="402" xr:uid="{00000000-0005-0000-0000-000079010000}"/>
    <cellStyle name="40 % - Accent4 17 2" xfId="403" xr:uid="{00000000-0005-0000-0000-00007A010000}"/>
    <cellStyle name="40 % - Accent4 18" xfId="404" xr:uid="{00000000-0005-0000-0000-00007B010000}"/>
    <cellStyle name="40 % - Accent4 18 2" xfId="405" xr:uid="{00000000-0005-0000-0000-00007C010000}"/>
    <cellStyle name="40 % - Accent4 19" xfId="406" xr:uid="{00000000-0005-0000-0000-00007D010000}"/>
    <cellStyle name="40 % - Accent4 19 2" xfId="407" xr:uid="{00000000-0005-0000-0000-00007E010000}"/>
    <cellStyle name="40 % - Accent4 2" xfId="408" xr:uid="{00000000-0005-0000-0000-00007F010000}"/>
    <cellStyle name="40 % - Accent4 2 2" xfId="409" xr:uid="{00000000-0005-0000-0000-000080010000}"/>
    <cellStyle name="40 % - Accent4 3" xfId="410" xr:uid="{00000000-0005-0000-0000-000081010000}"/>
    <cellStyle name="40 % - Accent4 3 2" xfId="411" xr:uid="{00000000-0005-0000-0000-000082010000}"/>
    <cellStyle name="40 % - Accent4 4" xfId="412" xr:uid="{00000000-0005-0000-0000-000083010000}"/>
    <cellStyle name="40 % - Accent4 4 2" xfId="413" xr:uid="{00000000-0005-0000-0000-000084010000}"/>
    <cellStyle name="40 % - Accent4 5" xfId="414" xr:uid="{00000000-0005-0000-0000-000085010000}"/>
    <cellStyle name="40 % - Accent4 5 2" xfId="415" xr:uid="{00000000-0005-0000-0000-000086010000}"/>
    <cellStyle name="40 % - Accent4 6" xfId="416" xr:uid="{00000000-0005-0000-0000-000087010000}"/>
    <cellStyle name="40 % - Accent4 6 2" xfId="417" xr:uid="{00000000-0005-0000-0000-000088010000}"/>
    <cellStyle name="40 % - Accent4 7" xfId="418" xr:uid="{00000000-0005-0000-0000-000089010000}"/>
    <cellStyle name="40 % - Accent4 7 2" xfId="419" xr:uid="{00000000-0005-0000-0000-00008A010000}"/>
    <cellStyle name="40 % - Accent4 8" xfId="420" xr:uid="{00000000-0005-0000-0000-00008B010000}"/>
    <cellStyle name="40 % - Accent4 8 2" xfId="421" xr:uid="{00000000-0005-0000-0000-00008C010000}"/>
    <cellStyle name="40 % - Accent4 9" xfId="422" xr:uid="{00000000-0005-0000-0000-00008D010000}"/>
    <cellStyle name="40 % - Accent4 9 2" xfId="423" xr:uid="{00000000-0005-0000-0000-00008E010000}"/>
    <cellStyle name="40 % - Accent5 10" xfId="424" xr:uid="{00000000-0005-0000-0000-00008F010000}"/>
    <cellStyle name="40 % - Accent5 10 2" xfId="425" xr:uid="{00000000-0005-0000-0000-000090010000}"/>
    <cellStyle name="40 % - Accent5 11" xfId="426" xr:uid="{00000000-0005-0000-0000-000091010000}"/>
    <cellStyle name="40 % - Accent5 11 2" xfId="427" xr:uid="{00000000-0005-0000-0000-000092010000}"/>
    <cellStyle name="40 % - Accent5 12" xfId="428" xr:uid="{00000000-0005-0000-0000-000093010000}"/>
    <cellStyle name="40 % - Accent5 12 2" xfId="429" xr:uid="{00000000-0005-0000-0000-000094010000}"/>
    <cellStyle name="40 % - Accent5 13" xfId="430" xr:uid="{00000000-0005-0000-0000-000095010000}"/>
    <cellStyle name="40 % - Accent5 13 2" xfId="431" xr:uid="{00000000-0005-0000-0000-000096010000}"/>
    <cellStyle name="40 % - Accent5 14" xfId="432" xr:uid="{00000000-0005-0000-0000-000097010000}"/>
    <cellStyle name="40 % - Accent5 14 2" xfId="433" xr:uid="{00000000-0005-0000-0000-000098010000}"/>
    <cellStyle name="40 % - Accent5 15" xfId="434" xr:uid="{00000000-0005-0000-0000-000099010000}"/>
    <cellStyle name="40 % - Accent5 15 2" xfId="435" xr:uid="{00000000-0005-0000-0000-00009A010000}"/>
    <cellStyle name="40 % - Accent5 16" xfId="436" xr:uid="{00000000-0005-0000-0000-00009B010000}"/>
    <cellStyle name="40 % - Accent5 16 2" xfId="437" xr:uid="{00000000-0005-0000-0000-00009C010000}"/>
    <cellStyle name="40 % - Accent5 17" xfId="438" xr:uid="{00000000-0005-0000-0000-00009D010000}"/>
    <cellStyle name="40 % - Accent5 17 2" xfId="439" xr:uid="{00000000-0005-0000-0000-00009E010000}"/>
    <cellStyle name="40 % - Accent5 18" xfId="440" xr:uid="{00000000-0005-0000-0000-00009F010000}"/>
    <cellStyle name="40 % - Accent5 18 2" xfId="441" xr:uid="{00000000-0005-0000-0000-0000A0010000}"/>
    <cellStyle name="40 % - Accent5 19" xfId="442" xr:uid="{00000000-0005-0000-0000-0000A1010000}"/>
    <cellStyle name="40 % - Accent5 19 2" xfId="443" xr:uid="{00000000-0005-0000-0000-0000A2010000}"/>
    <cellStyle name="40 % - Accent5 2" xfId="444" xr:uid="{00000000-0005-0000-0000-0000A3010000}"/>
    <cellStyle name="40 % - Accent5 2 2" xfId="445" xr:uid="{00000000-0005-0000-0000-0000A4010000}"/>
    <cellStyle name="40 % - Accent5 3" xfId="446" xr:uid="{00000000-0005-0000-0000-0000A5010000}"/>
    <cellStyle name="40 % - Accent5 3 2" xfId="447" xr:uid="{00000000-0005-0000-0000-0000A6010000}"/>
    <cellStyle name="40 % - Accent5 4" xfId="448" xr:uid="{00000000-0005-0000-0000-0000A7010000}"/>
    <cellStyle name="40 % - Accent5 4 2" xfId="449" xr:uid="{00000000-0005-0000-0000-0000A8010000}"/>
    <cellStyle name="40 % - Accent5 5" xfId="450" xr:uid="{00000000-0005-0000-0000-0000A9010000}"/>
    <cellStyle name="40 % - Accent5 5 2" xfId="451" xr:uid="{00000000-0005-0000-0000-0000AA010000}"/>
    <cellStyle name="40 % - Accent5 6" xfId="452" xr:uid="{00000000-0005-0000-0000-0000AB010000}"/>
    <cellStyle name="40 % - Accent5 6 2" xfId="453" xr:uid="{00000000-0005-0000-0000-0000AC010000}"/>
    <cellStyle name="40 % - Accent5 7" xfId="454" xr:uid="{00000000-0005-0000-0000-0000AD010000}"/>
    <cellStyle name="40 % - Accent5 7 2" xfId="455" xr:uid="{00000000-0005-0000-0000-0000AE010000}"/>
    <cellStyle name="40 % - Accent5 8" xfId="456" xr:uid="{00000000-0005-0000-0000-0000AF010000}"/>
    <cellStyle name="40 % - Accent5 8 2" xfId="457" xr:uid="{00000000-0005-0000-0000-0000B0010000}"/>
    <cellStyle name="40 % - Accent5 9" xfId="458" xr:uid="{00000000-0005-0000-0000-0000B1010000}"/>
    <cellStyle name="40 % - Accent5 9 2" xfId="459" xr:uid="{00000000-0005-0000-0000-0000B2010000}"/>
    <cellStyle name="40 % - Accent6 10" xfId="460" xr:uid="{00000000-0005-0000-0000-0000B3010000}"/>
    <cellStyle name="40 % - Accent6 10 2" xfId="461" xr:uid="{00000000-0005-0000-0000-0000B4010000}"/>
    <cellStyle name="40 % - Accent6 11" xfId="462" xr:uid="{00000000-0005-0000-0000-0000B5010000}"/>
    <cellStyle name="40 % - Accent6 11 2" xfId="463" xr:uid="{00000000-0005-0000-0000-0000B6010000}"/>
    <cellStyle name="40 % - Accent6 12" xfId="464" xr:uid="{00000000-0005-0000-0000-0000B7010000}"/>
    <cellStyle name="40 % - Accent6 12 2" xfId="465" xr:uid="{00000000-0005-0000-0000-0000B8010000}"/>
    <cellStyle name="40 % - Accent6 13" xfId="466" xr:uid="{00000000-0005-0000-0000-0000B9010000}"/>
    <cellStyle name="40 % - Accent6 13 2" xfId="467" xr:uid="{00000000-0005-0000-0000-0000BA010000}"/>
    <cellStyle name="40 % - Accent6 14" xfId="468" xr:uid="{00000000-0005-0000-0000-0000BB010000}"/>
    <cellStyle name="40 % - Accent6 14 2" xfId="469" xr:uid="{00000000-0005-0000-0000-0000BC010000}"/>
    <cellStyle name="40 % - Accent6 15" xfId="470" xr:uid="{00000000-0005-0000-0000-0000BD010000}"/>
    <cellStyle name="40 % - Accent6 15 2" xfId="471" xr:uid="{00000000-0005-0000-0000-0000BE010000}"/>
    <cellStyle name="40 % - Accent6 16" xfId="472" xr:uid="{00000000-0005-0000-0000-0000BF010000}"/>
    <cellStyle name="40 % - Accent6 16 2" xfId="473" xr:uid="{00000000-0005-0000-0000-0000C0010000}"/>
    <cellStyle name="40 % - Accent6 17" xfId="474" xr:uid="{00000000-0005-0000-0000-0000C1010000}"/>
    <cellStyle name="40 % - Accent6 17 2" xfId="475" xr:uid="{00000000-0005-0000-0000-0000C2010000}"/>
    <cellStyle name="40 % - Accent6 18" xfId="476" xr:uid="{00000000-0005-0000-0000-0000C3010000}"/>
    <cellStyle name="40 % - Accent6 18 2" xfId="477" xr:uid="{00000000-0005-0000-0000-0000C4010000}"/>
    <cellStyle name="40 % - Accent6 19" xfId="478" xr:uid="{00000000-0005-0000-0000-0000C5010000}"/>
    <cellStyle name="40 % - Accent6 19 2" xfId="479" xr:uid="{00000000-0005-0000-0000-0000C6010000}"/>
    <cellStyle name="40 % - Accent6 2" xfId="480" xr:uid="{00000000-0005-0000-0000-0000C7010000}"/>
    <cellStyle name="40 % - Accent6 2 2" xfId="481" xr:uid="{00000000-0005-0000-0000-0000C8010000}"/>
    <cellStyle name="40 % - Accent6 3" xfId="482" xr:uid="{00000000-0005-0000-0000-0000C9010000}"/>
    <cellStyle name="40 % - Accent6 3 2" xfId="483" xr:uid="{00000000-0005-0000-0000-0000CA010000}"/>
    <cellStyle name="40 % - Accent6 4" xfId="484" xr:uid="{00000000-0005-0000-0000-0000CB010000}"/>
    <cellStyle name="40 % - Accent6 4 2" xfId="485" xr:uid="{00000000-0005-0000-0000-0000CC010000}"/>
    <cellStyle name="40 % - Accent6 5" xfId="486" xr:uid="{00000000-0005-0000-0000-0000CD010000}"/>
    <cellStyle name="40 % - Accent6 5 2" xfId="487" xr:uid="{00000000-0005-0000-0000-0000CE010000}"/>
    <cellStyle name="40 % - Accent6 6" xfId="488" xr:uid="{00000000-0005-0000-0000-0000CF010000}"/>
    <cellStyle name="40 % - Accent6 6 2" xfId="489" xr:uid="{00000000-0005-0000-0000-0000D0010000}"/>
    <cellStyle name="40 % - Accent6 7" xfId="490" xr:uid="{00000000-0005-0000-0000-0000D1010000}"/>
    <cellStyle name="40 % - Accent6 7 2" xfId="491" xr:uid="{00000000-0005-0000-0000-0000D2010000}"/>
    <cellStyle name="40 % - Accent6 8" xfId="492" xr:uid="{00000000-0005-0000-0000-0000D3010000}"/>
    <cellStyle name="40 % - Accent6 8 2" xfId="493" xr:uid="{00000000-0005-0000-0000-0000D4010000}"/>
    <cellStyle name="40 % - Accent6 9" xfId="494" xr:uid="{00000000-0005-0000-0000-0000D5010000}"/>
    <cellStyle name="40 % - Accent6 9 2" xfId="495" xr:uid="{00000000-0005-0000-0000-0000D6010000}"/>
    <cellStyle name="60 % - Accent1 10" xfId="496" xr:uid="{00000000-0005-0000-0000-0000D7010000}"/>
    <cellStyle name="60 % - Accent1 10 2" xfId="497" xr:uid="{00000000-0005-0000-0000-0000D8010000}"/>
    <cellStyle name="60 % - Accent1 11" xfId="498" xr:uid="{00000000-0005-0000-0000-0000D9010000}"/>
    <cellStyle name="60 % - Accent1 11 2" xfId="499" xr:uid="{00000000-0005-0000-0000-0000DA010000}"/>
    <cellStyle name="60 % - Accent1 12" xfId="500" xr:uid="{00000000-0005-0000-0000-0000DB010000}"/>
    <cellStyle name="60 % - Accent1 12 2" xfId="501" xr:uid="{00000000-0005-0000-0000-0000DC010000}"/>
    <cellStyle name="60 % - Accent1 13" xfId="502" xr:uid="{00000000-0005-0000-0000-0000DD010000}"/>
    <cellStyle name="60 % - Accent1 13 2" xfId="503" xr:uid="{00000000-0005-0000-0000-0000DE010000}"/>
    <cellStyle name="60 % - Accent1 14" xfId="504" xr:uid="{00000000-0005-0000-0000-0000DF010000}"/>
    <cellStyle name="60 % - Accent1 14 2" xfId="505" xr:uid="{00000000-0005-0000-0000-0000E0010000}"/>
    <cellStyle name="60 % - Accent1 15" xfId="506" xr:uid="{00000000-0005-0000-0000-0000E1010000}"/>
    <cellStyle name="60 % - Accent1 15 2" xfId="507" xr:uid="{00000000-0005-0000-0000-0000E2010000}"/>
    <cellStyle name="60 % - Accent1 16" xfId="508" xr:uid="{00000000-0005-0000-0000-0000E3010000}"/>
    <cellStyle name="60 % - Accent1 16 2" xfId="509" xr:uid="{00000000-0005-0000-0000-0000E4010000}"/>
    <cellStyle name="60 % - Accent1 17" xfId="510" xr:uid="{00000000-0005-0000-0000-0000E5010000}"/>
    <cellStyle name="60 % - Accent1 17 2" xfId="511" xr:uid="{00000000-0005-0000-0000-0000E6010000}"/>
    <cellStyle name="60 % - Accent1 18" xfId="512" xr:uid="{00000000-0005-0000-0000-0000E7010000}"/>
    <cellStyle name="60 % - Accent1 18 2" xfId="513" xr:uid="{00000000-0005-0000-0000-0000E8010000}"/>
    <cellStyle name="60 % - Accent1 19" xfId="514" xr:uid="{00000000-0005-0000-0000-0000E9010000}"/>
    <cellStyle name="60 % - Accent1 19 2" xfId="515" xr:uid="{00000000-0005-0000-0000-0000EA010000}"/>
    <cellStyle name="60 % - Accent1 2" xfId="516" xr:uid="{00000000-0005-0000-0000-0000EB010000}"/>
    <cellStyle name="60 % - Accent1 2 2" xfId="517" xr:uid="{00000000-0005-0000-0000-0000EC010000}"/>
    <cellStyle name="60 % - Accent1 3" xfId="518" xr:uid="{00000000-0005-0000-0000-0000ED010000}"/>
    <cellStyle name="60 % - Accent1 3 2" xfId="519" xr:uid="{00000000-0005-0000-0000-0000EE010000}"/>
    <cellStyle name="60 % - Accent1 4" xfId="520" xr:uid="{00000000-0005-0000-0000-0000EF010000}"/>
    <cellStyle name="60 % - Accent1 4 2" xfId="521" xr:uid="{00000000-0005-0000-0000-0000F0010000}"/>
    <cellStyle name="60 % - Accent1 5" xfId="522" xr:uid="{00000000-0005-0000-0000-0000F1010000}"/>
    <cellStyle name="60 % - Accent1 5 2" xfId="523" xr:uid="{00000000-0005-0000-0000-0000F2010000}"/>
    <cellStyle name="60 % - Accent1 6" xfId="524" xr:uid="{00000000-0005-0000-0000-0000F3010000}"/>
    <cellStyle name="60 % - Accent1 6 2" xfId="525" xr:uid="{00000000-0005-0000-0000-0000F4010000}"/>
    <cellStyle name="60 % - Accent1 7" xfId="526" xr:uid="{00000000-0005-0000-0000-0000F5010000}"/>
    <cellStyle name="60 % - Accent1 7 2" xfId="527" xr:uid="{00000000-0005-0000-0000-0000F6010000}"/>
    <cellStyle name="60 % - Accent1 8" xfId="528" xr:uid="{00000000-0005-0000-0000-0000F7010000}"/>
    <cellStyle name="60 % - Accent1 8 2" xfId="529" xr:uid="{00000000-0005-0000-0000-0000F8010000}"/>
    <cellStyle name="60 % - Accent1 9" xfId="530" xr:uid="{00000000-0005-0000-0000-0000F9010000}"/>
    <cellStyle name="60 % - Accent1 9 2" xfId="531" xr:uid="{00000000-0005-0000-0000-0000FA010000}"/>
    <cellStyle name="60 % - Accent2 10" xfId="532" xr:uid="{00000000-0005-0000-0000-0000FB010000}"/>
    <cellStyle name="60 % - Accent2 10 2" xfId="533" xr:uid="{00000000-0005-0000-0000-0000FC010000}"/>
    <cellStyle name="60 % - Accent2 11" xfId="534" xr:uid="{00000000-0005-0000-0000-0000FD010000}"/>
    <cellStyle name="60 % - Accent2 11 2" xfId="535" xr:uid="{00000000-0005-0000-0000-0000FE010000}"/>
    <cellStyle name="60 % - Accent2 12" xfId="536" xr:uid="{00000000-0005-0000-0000-0000FF010000}"/>
    <cellStyle name="60 % - Accent2 12 2" xfId="537" xr:uid="{00000000-0005-0000-0000-000000020000}"/>
    <cellStyle name="60 % - Accent2 13" xfId="538" xr:uid="{00000000-0005-0000-0000-000001020000}"/>
    <cellStyle name="60 % - Accent2 13 2" xfId="539" xr:uid="{00000000-0005-0000-0000-000002020000}"/>
    <cellStyle name="60 % - Accent2 14" xfId="540" xr:uid="{00000000-0005-0000-0000-000003020000}"/>
    <cellStyle name="60 % - Accent2 14 2" xfId="541" xr:uid="{00000000-0005-0000-0000-000004020000}"/>
    <cellStyle name="60 % - Accent2 15" xfId="542" xr:uid="{00000000-0005-0000-0000-000005020000}"/>
    <cellStyle name="60 % - Accent2 15 2" xfId="543" xr:uid="{00000000-0005-0000-0000-000006020000}"/>
    <cellStyle name="60 % - Accent2 16" xfId="544" xr:uid="{00000000-0005-0000-0000-000007020000}"/>
    <cellStyle name="60 % - Accent2 16 2" xfId="545" xr:uid="{00000000-0005-0000-0000-000008020000}"/>
    <cellStyle name="60 % - Accent2 17" xfId="546" xr:uid="{00000000-0005-0000-0000-000009020000}"/>
    <cellStyle name="60 % - Accent2 17 2" xfId="547" xr:uid="{00000000-0005-0000-0000-00000A020000}"/>
    <cellStyle name="60 % - Accent2 18" xfId="548" xr:uid="{00000000-0005-0000-0000-00000B020000}"/>
    <cellStyle name="60 % - Accent2 18 2" xfId="549" xr:uid="{00000000-0005-0000-0000-00000C020000}"/>
    <cellStyle name="60 % - Accent2 19" xfId="550" xr:uid="{00000000-0005-0000-0000-00000D020000}"/>
    <cellStyle name="60 % - Accent2 19 2" xfId="551" xr:uid="{00000000-0005-0000-0000-00000E020000}"/>
    <cellStyle name="60 % - Accent2 2" xfId="552" xr:uid="{00000000-0005-0000-0000-00000F020000}"/>
    <cellStyle name="60 % - Accent2 2 2" xfId="553" xr:uid="{00000000-0005-0000-0000-000010020000}"/>
    <cellStyle name="60 % - Accent2 3" xfId="554" xr:uid="{00000000-0005-0000-0000-000011020000}"/>
    <cellStyle name="60 % - Accent2 3 2" xfId="555" xr:uid="{00000000-0005-0000-0000-000012020000}"/>
    <cellStyle name="60 % - Accent2 4" xfId="556" xr:uid="{00000000-0005-0000-0000-000013020000}"/>
    <cellStyle name="60 % - Accent2 4 2" xfId="557" xr:uid="{00000000-0005-0000-0000-000014020000}"/>
    <cellStyle name="60 % - Accent2 5" xfId="558" xr:uid="{00000000-0005-0000-0000-000015020000}"/>
    <cellStyle name="60 % - Accent2 5 2" xfId="559" xr:uid="{00000000-0005-0000-0000-000016020000}"/>
    <cellStyle name="60 % - Accent2 6" xfId="560" xr:uid="{00000000-0005-0000-0000-000017020000}"/>
    <cellStyle name="60 % - Accent2 6 2" xfId="561" xr:uid="{00000000-0005-0000-0000-000018020000}"/>
    <cellStyle name="60 % - Accent2 7" xfId="562" xr:uid="{00000000-0005-0000-0000-000019020000}"/>
    <cellStyle name="60 % - Accent2 7 2" xfId="563" xr:uid="{00000000-0005-0000-0000-00001A020000}"/>
    <cellStyle name="60 % - Accent2 8" xfId="564" xr:uid="{00000000-0005-0000-0000-00001B020000}"/>
    <cellStyle name="60 % - Accent2 8 2" xfId="565" xr:uid="{00000000-0005-0000-0000-00001C020000}"/>
    <cellStyle name="60 % - Accent2 9" xfId="566" xr:uid="{00000000-0005-0000-0000-00001D020000}"/>
    <cellStyle name="60 % - Accent2 9 2" xfId="567" xr:uid="{00000000-0005-0000-0000-00001E020000}"/>
    <cellStyle name="60 % - Accent3 10" xfId="568" xr:uid="{00000000-0005-0000-0000-00001F020000}"/>
    <cellStyle name="60 % - Accent3 10 2" xfId="569" xr:uid="{00000000-0005-0000-0000-000020020000}"/>
    <cellStyle name="60 % - Accent3 11" xfId="570" xr:uid="{00000000-0005-0000-0000-000021020000}"/>
    <cellStyle name="60 % - Accent3 11 2" xfId="571" xr:uid="{00000000-0005-0000-0000-000022020000}"/>
    <cellStyle name="60 % - Accent3 12" xfId="572" xr:uid="{00000000-0005-0000-0000-000023020000}"/>
    <cellStyle name="60 % - Accent3 12 2" xfId="573" xr:uid="{00000000-0005-0000-0000-000024020000}"/>
    <cellStyle name="60 % - Accent3 13" xfId="574" xr:uid="{00000000-0005-0000-0000-000025020000}"/>
    <cellStyle name="60 % - Accent3 13 2" xfId="575" xr:uid="{00000000-0005-0000-0000-000026020000}"/>
    <cellStyle name="60 % - Accent3 14" xfId="576" xr:uid="{00000000-0005-0000-0000-000027020000}"/>
    <cellStyle name="60 % - Accent3 14 2" xfId="577" xr:uid="{00000000-0005-0000-0000-000028020000}"/>
    <cellStyle name="60 % - Accent3 15" xfId="578" xr:uid="{00000000-0005-0000-0000-000029020000}"/>
    <cellStyle name="60 % - Accent3 15 2" xfId="579" xr:uid="{00000000-0005-0000-0000-00002A020000}"/>
    <cellStyle name="60 % - Accent3 16" xfId="580" xr:uid="{00000000-0005-0000-0000-00002B020000}"/>
    <cellStyle name="60 % - Accent3 16 2" xfId="581" xr:uid="{00000000-0005-0000-0000-00002C020000}"/>
    <cellStyle name="60 % - Accent3 17" xfId="582" xr:uid="{00000000-0005-0000-0000-00002D020000}"/>
    <cellStyle name="60 % - Accent3 17 2" xfId="583" xr:uid="{00000000-0005-0000-0000-00002E020000}"/>
    <cellStyle name="60 % - Accent3 18" xfId="584" xr:uid="{00000000-0005-0000-0000-00002F020000}"/>
    <cellStyle name="60 % - Accent3 18 2" xfId="585" xr:uid="{00000000-0005-0000-0000-000030020000}"/>
    <cellStyle name="60 % - Accent3 19" xfId="586" xr:uid="{00000000-0005-0000-0000-000031020000}"/>
    <cellStyle name="60 % - Accent3 19 2" xfId="587" xr:uid="{00000000-0005-0000-0000-000032020000}"/>
    <cellStyle name="60 % - Accent3 2" xfId="588" xr:uid="{00000000-0005-0000-0000-000033020000}"/>
    <cellStyle name="60 % - Accent3 2 2" xfId="589" xr:uid="{00000000-0005-0000-0000-000034020000}"/>
    <cellStyle name="60 % - Accent3 3" xfId="590" xr:uid="{00000000-0005-0000-0000-000035020000}"/>
    <cellStyle name="60 % - Accent3 3 2" xfId="591" xr:uid="{00000000-0005-0000-0000-000036020000}"/>
    <cellStyle name="60 % - Accent3 4" xfId="592" xr:uid="{00000000-0005-0000-0000-000037020000}"/>
    <cellStyle name="60 % - Accent3 4 2" xfId="593" xr:uid="{00000000-0005-0000-0000-000038020000}"/>
    <cellStyle name="60 % - Accent3 5" xfId="594" xr:uid="{00000000-0005-0000-0000-000039020000}"/>
    <cellStyle name="60 % - Accent3 5 2" xfId="595" xr:uid="{00000000-0005-0000-0000-00003A020000}"/>
    <cellStyle name="60 % - Accent3 6" xfId="596" xr:uid="{00000000-0005-0000-0000-00003B020000}"/>
    <cellStyle name="60 % - Accent3 6 2" xfId="597" xr:uid="{00000000-0005-0000-0000-00003C020000}"/>
    <cellStyle name="60 % - Accent3 7" xfId="598" xr:uid="{00000000-0005-0000-0000-00003D020000}"/>
    <cellStyle name="60 % - Accent3 7 2" xfId="599" xr:uid="{00000000-0005-0000-0000-00003E020000}"/>
    <cellStyle name="60 % - Accent3 8" xfId="600" xr:uid="{00000000-0005-0000-0000-00003F020000}"/>
    <cellStyle name="60 % - Accent3 8 2" xfId="601" xr:uid="{00000000-0005-0000-0000-000040020000}"/>
    <cellStyle name="60 % - Accent3 9" xfId="602" xr:uid="{00000000-0005-0000-0000-000041020000}"/>
    <cellStyle name="60 % - Accent3 9 2" xfId="603" xr:uid="{00000000-0005-0000-0000-000042020000}"/>
    <cellStyle name="60 % - Accent4 10" xfId="604" xr:uid="{00000000-0005-0000-0000-000043020000}"/>
    <cellStyle name="60 % - Accent4 10 2" xfId="605" xr:uid="{00000000-0005-0000-0000-000044020000}"/>
    <cellStyle name="60 % - Accent4 11" xfId="606" xr:uid="{00000000-0005-0000-0000-000045020000}"/>
    <cellStyle name="60 % - Accent4 11 2" xfId="607" xr:uid="{00000000-0005-0000-0000-000046020000}"/>
    <cellStyle name="60 % - Accent4 12" xfId="608" xr:uid="{00000000-0005-0000-0000-000047020000}"/>
    <cellStyle name="60 % - Accent4 12 2" xfId="609" xr:uid="{00000000-0005-0000-0000-000048020000}"/>
    <cellStyle name="60 % - Accent4 13" xfId="610" xr:uid="{00000000-0005-0000-0000-000049020000}"/>
    <cellStyle name="60 % - Accent4 13 2" xfId="611" xr:uid="{00000000-0005-0000-0000-00004A020000}"/>
    <cellStyle name="60 % - Accent4 14" xfId="612" xr:uid="{00000000-0005-0000-0000-00004B020000}"/>
    <cellStyle name="60 % - Accent4 14 2" xfId="613" xr:uid="{00000000-0005-0000-0000-00004C020000}"/>
    <cellStyle name="60 % - Accent4 15" xfId="614" xr:uid="{00000000-0005-0000-0000-00004D020000}"/>
    <cellStyle name="60 % - Accent4 15 2" xfId="615" xr:uid="{00000000-0005-0000-0000-00004E020000}"/>
    <cellStyle name="60 % - Accent4 16" xfId="616" xr:uid="{00000000-0005-0000-0000-00004F020000}"/>
    <cellStyle name="60 % - Accent4 16 2" xfId="617" xr:uid="{00000000-0005-0000-0000-000050020000}"/>
    <cellStyle name="60 % - Accent4 17" xfId="618" xr:uid="{00000000-0005-0000-0000-000051020000}"/>
    <cellStyle name="60 % - Accent4 17 2" xfId="619" xr:uid="{00000000-0005-0000-0000-000052020000}"/>
    <cellStyle name="60 % - Accent4 18" xfId="620" xr:uid="{00000000-0005-0000-0000-000053020000}"/>
    <cellStyle name="60 % - Accent4 18 2" xfId="621" xr:uid="{00000000-0005-0000-0000-000054020000}"/>
    <cellStyle name="60 % - Accent4 19" xfId="622" xr:uid="{00000000-0005-0000-0000-000055020000}"/>
    <cellStyle name="60 % - Accent4 19 2" xfId="623" xr:uid="{00000000-0005-0000-0000-000056020000}"/>
    <cellStyle name="60 % - Accent4 2" xfId="624" xr:uid="{00000000-0005-0000-0000-000057020000}"/>
    <cellStyle name="60 % - Accent4 2 2" xfId="625" xr:uid="{00000000-0005-0000-0000-000058020000}"/>
    <cellStyle name="60 % - Accent4 3" xfId="626" xr:uid="{00000000-0005-0000-0000-000059020000}"/>
    <cellStyle name="60 % - Accent4 3 2" xfId="627" xr:uid="{00000000-0005-0000-0000-00005A020000}"/>
    <cellStyle name="60 % - Accent4 4" xfId="628" xr:uid="{00000000-0005-0000-0000-00005B020000}"/>
    <cellStyle name="60 % - Accent4 4 2" xfId="629" xr:uid="{00000000-0005-0000-0000-00005C020000}"/>
    <cellStyle name="60 % - Accent4 5" xfId="630" xr:uid="{00000000-0005-0000-0000-00005D020000}"/>
    <cellStyle name="60 % - Accent4 5 2" xfId="631" xr:uid="{00000000-0005-0000-0000-00005E020000}"/>
    <cellStyle name="60 % - Accent4 6" xfId="632" xr:uid="{00000000-0005-0000-0000-00005F020000}"/>
    <cellStyle name="60 % - Accent4 6 2" xfId="633" xr:uid="{00000000-0005-0000-0000-000060020000}"/>
    <cellStyle name="60 % - Accent4 7" xfId="634" xr:uid="{00000000-0005-0000-0000-000061020000}"/>
    <cellStyle name="60 % - Accent4 7 2" xfId="635" xr:uid="{00000000-0005-0000-0000-000062020000}"/>
    <cellStyle name="60 % - Accent4 8" xfId="636" xr:uid="{00000000-0005-0000-0000-000063020000}"/>
    <cellStyle name="60 % - Accent4 8 2" xfId="637" xr:uid="{00000000-0005-0000-0000-000064020000}"/>
    <cellStyle name="60 % - Accent4 9" xfId="638" xr:uid="{00000000-0005-0000-0000-000065020000}"/>
    <cellStyle name="60 % - Accent4 9 2" xfId="639" xr:uid="{00000000-0005-0000-0000-000066020000}"/>
    <cellStyle name="60 % - Accent5 10" xfId="640" xr:uid="{00000000-0005-0000-0000-000067020000}"/>
    <cellStyle name="60 % - Accent5 10 2" xfId="641" xr:uid="{00000000-0005-0000-0000-000068020000}"/>
    <cellStyle name="60 % - Accent5 11" xfId="642" xr:uid="{00000000-0005-0000-0000-000069020000}"/>
    <cellStyle name="60 % - Accent5 11 2" xfId="643" xr:uid="{00000000-0005-0000-0000-00006A020000}"/>
    <cellStyle name="60 % - Accent5 12" xfId="644" xr:uid="{00000000-0005-0000-0000-00006B020000}"/>
    <cellStyle name="60 % - Accent5 12 2" xfId="645" xr:uid="{00000000-0005-0000-0000-00006C020000}"/>
    <cellStyle name="60 % - Accent5 13" xfId="646" xr:uid="{00000000-0005-0000-0000-00006D020000}"/>
    <cellStyle name="60 % - Accent5 13 2" xfId="647" xr:uid="{00000000-0005-0000-0000-00006E020000}"/>
    <cellStyle name="60 % - Accent5 14" xfId="648" xr:uid="{00000000-0005-0000-0000-00006F020000}"/>
    <cellStyle name="60 % - Accent5 14 2" xfId="649" xr:uid="{00000000-0005-0000-0000-000070020000}"/>
    <cellStyle name="60 % - Accent5 15" xfId="650" xr:uid="{00000000-0005-0000-0000-000071020000}"/>
    <cellStyle name="60 % - Accent5 15 2" xfId="651" xr:uid="{00000000-0005-0000-0000-000072020000}"/>
    <cellStyle name="60 % - Accent5 16" xfId="652" xr:uid="{00000000-0005-0000-0000-000073020000}"/>
    <cellStyle name="60 % - Accent5 16 2" xfId="653" xr:uid="{00000000-0005-0000-0000-000074020000}"/>
    <cellStyle name="60 % - Accent5 17" xfId="654" xr:uid="{00000000-0005-0000-0000-000075020000}"/>
    <cellStyle name="60 % - Accent5 17 2" xfId="655" xr:uid="{00000000-0005-0000-0000-000076020000}"/>
    <cellStyle name="60 % - Accent5 18" xfId="656" xr:uid="{00000000-0005-0000-0000-000077020000}"/>
    <cellStyle name="60 % - Accent5 18 2" xfId="657" xr:uid="{00000000-0005-0000-0000-000078020000}"/>
    <cellStyle name="60 % - Accent5 19" xfId="658" xr:uid="{00000000-0005-0000-0000-000079020000}"/>
    <cellStyle name="60 % - Accent5 19 2" xfId="659" xr:uid="{00000000-0005-0000-0000-00007A020000}"/>
    <cellStyle name="60 % - Accent5 2" xfId="660" xr:uid="{00000000-0005-0000-0000-00007B020000}"/>
    <cellStyle name="60 % - Accent5 2 2" xfId="661" xr:uid="{00000000-0005-0000-0000-00007C020000}"/>
    <cellStyle name="60 % - Accent5 3" xfId="662" xr:uid="{00000000-0005-0000-0000-00007D020000}"/>
    <cellStyle name="60 % - Accent5 3 2" xfId="663" xr:uid="{00000000-0005-0000-0000-00007E020000}"/>
    <cellStyle name="60 % - Accent5 4" xfId="664" xr:uid="{00000000-0005-0000-0000-00007F020000}"/>
    <cellStyle name="60 % - Accent5 4 2" xfId="665" xr:uid="{00000000-0005-0000-0000-000080020000}"/>
    <cellStyle name="60 % - Accent5 5" xfId="666" xr:uid="{00000000-0005-0000-0000-000081020000}"/>
    <cellStyle name="60 % - Accent5 5 2" xfId="667" xr:uid="{00000000-0005-0000-0000-000082020000}"/>
    <cellStyle name="60 % - Accent5 6" xfId="668" xr:uid="{00000000-0005-0000-0000-000083020000}"/>
    <cellStyle name="60 % - Accent5 6 2" xfId="669" xr:uid="{00000000-0005-0000-0000-000084020000}"/>
    <cellStyle name="60 % - Accent5 7" xfId="670" xr:uid="{00000000-0005-0000-0000-000085020000}"/>
    <cellStyle name="60 % - Accent5 7 2" xfId="671" xr:uid="{00000000-0005-0000-0000-000086020000}"/>
    <cellStyle name="60 % - Accent5 8" xfId="672" xr:uid="{00000000-0005-0000-0000-000087020000}"/>
    <cellStyle name="60 % - Accent5 8 2" xfId="673" xr:uid="{00000000-0005-0000-0000-000088020000}"/>
    <cellStyle name="60 % - Accent5 9" xfId="674" xr:uid="{00000000-0005-0000-0000-000089020000}"/>
    <cellStyle name="60 % - Accent5 9 2" xfId="675" xr:uid="{00000000-0005-0000-0000-00008A020000}"/>
    <cellStyle name="60 % - Accent6 10" xfId="676" xr:uid="{00000000-0005-0000-0000-00008B020000}"/>
    <cellStyle name="60 % - Accent6 10 2" xfId="677" xr:uid="{00000000-0005-0000-0000-00008C020000}"/>
    <cellStyle name="60 % - Accent6 11" xfId="678" xr:uid="{00000000-0005-0000-0000-00008D020000}"/>
    <cellStyle name="60 % - Accent6 11 2" xfId="679" xr:uid="{00000000-0005-0000-0000-00008E020000}"/>
    <cellStyle name="60 % - Accent6 12" xfId="680" xr:uid="{00000000-0005-0000-0000-00008F020000}"/>
    <cellStyle name="60 % - Accent6 12 2" xfId="681" xr:uid="{00000000-0005-0000-0000-000090020000}"/>
    <cellStyle name="60 % - Accent6 13" xfId="682" xr:uid="{00000000-0005-0000-0000-000091020000}"/>
    <cellStyle name="60 % - Accent6 13 2" xfId="683" xr:uid="{00000000-0005-0000-0000-000092020000}"/>
    <cellStyle name="60 % - Accent6 14" xfId="684" xr:uid="{00000000-0005-0000-0000-000093020000}"/>
    <cellStyle name="60 % - Accent6 14 2" xfId="685" xr:uid="{00000000-0005-0000-0000-000094020000}"/>
    <cellStyle name="60 % - Accent6 15" xfId="686" xr:uid="{00000000-0005-0000-0000-000095020000}"/>
    <cellStyle name="60 % - Accent6 15 2" xfId="687" xr:uid="{00000000-0005-0000-0000-000096020000}"/>
    <cellStyle name="60 % - Accent6 16" xfId="688" xr:uid="{00000000-0005-0000-0000-000097020000}"/>
    <cellStyle name="60 % - Accent6 16 2" xfId="689" xr:uid="{00000000-0005-0000-0000-000098020000}"/>
    <cellStyle name="60 % - Accent6 17" xfId="690" xr:uid="{00000000-0005-0000-0000-000099020000}"/>
    <cellStyle name="60 % - Accent6 17 2" xfId="691" xr:uid="{00000000-0005-0000-0000-00009A020000}"/>
    <cellStyle name="60 % - Accent6 18" xfId="692" xr:uid="{00000000-0005-0000-0000-00009B020000}"/>
    <cellStyle name="60 % - Accent6 18 2" xfId="693" xr:uid="{00000000-0005-0000-0000-00009C020000}"/>
    <cellStyle name="60 % - Accent6 19" xfId="694" xr:uid="{00000000-0005-0000-0000-00009D020000}"/>
    <cellStyle name="60 % - Accent6 19 2" xfId="695" xr:uid="{00000000-0005-0000-0000-00009E020000}"/>
    <cellStyle name="60 % - Accent6 2" xfId="696" xr:uid="{00000000-0005-0000-0000-00009F020000}"/>
    <cellStyle name="60 % - Accent6 2 2" xfId="697" xr:uid="{00000000-0005-0000-0000-0000A0020000}"/>
    <cellStyle name="60 % - Accent6 3" xfId="698" xr:uid="{00000000-0005-0000-0000-0000A1020000}"/>
    <cellStyle name="60 % - Accent6 3 2" xfId="699" xr:uid="{00000000-0005-0000-0000-0000A2020000}"/>
    <cellStyle name="60 % - Accent6 4" xfId="700" xr:uid="{00000000-0005-0000-0000-0000A3020000}"/>
    <cellStyle name="60 % - Accent6 4 2" xfId="701" xr:uid="{00000000-0005-0000-0000-0000A4020000}"/>
    <cellStyle name="60 % - Accent6 5" xfId="702" xr:uid="{00000000-0005-0000-0000-0000A5020000}"/>
    <cellStyle name="60 % - Accent6 5 2" xfId="703" xr:uid="{00000000-0005-0000-0000-0000A6020000}"/>
    <cellStyle name="60 % - Accent6 6" xfId="704" xr:uid="{00000000-0005-0000-0000-0000A7020000}"/>
    <cellStyle name="60 % - Accent6 6 2" xfId="705" xr:uid="{00000000-0005-0000-0000-0000A8020000}"/>
    <cellStyle name="60 % - Accent6 7" xfId="706" xr:uid="{00000000-0005-0000-0000-0000A9020000}"/>
    <cellStyle name="60 % - Accent6 7 2" xfId="707" xr:uid="{00000000-0005-0000-0000-0000AA020000}"/>
    <cellStyle name="60 % - Accent6 8" xfId="708" xr:uid="{00000000-0005-0000-0000-0000AB020000}"/>
    <cellStyle name="60 % - Accent6 8 2" xfId="709" xr:uid="{00000000-0005-0000-0000-0000AC020000}"/>
    <cellStyle name="60 % - Accent6 9" xfId="710" xr:uid="{00000000-0005-0000-0000-0000AD020000}"/>
    <cellStyle name="60 % - Accent6 9 2" xfId="711" xr:uid="{00000000-0005-0000-0000-0000AE020000}"/>
    <cellStyle name="Accent1 10" xfId="712" xr:uid="{00000000-0005-0000-0000-0000AF020000}"/>
    <cellStyle name="Accent1 10 2" xfId="713" xr:uid="{00000000-0005-0000-0000-0000B0020000}"/>
    <cellStyle name="Accent1 11" xfId="714" xr:uid="{00000000-0005-0000-0000-0000B1020000}"/>
    <cellStyle name="Accent1 11 2" xfId="715" xr:uid="{00000000-0005-0000-0000-0000B2020000}"/>
    <cellStyle name="Accent1 12" xfId="716" xr:uid="{00000000-0005-0000-0000-0000B3020000}"/>
    <cellStyle name="Accent1 12 2" xfId="717" xr:uid="{00000000-0005-0000-0000-0000B4020000}"/>
    <cellStyle name="Accent1 13" xfId="718" xr:uid="{00000000-0005-0000-0000-0000B5020000}"/>
    <cellStyle name="Accent1 13 2" xfId="719" xr:uid="{00000000-0005-0000-0000-0000B6020000}"/>
    <cellStyle name="Accent1 14" xfId="720" xr:uid="{00000000-0005-0000-0000-0000B7020000}"/>
    <cellStyle name="Accent1 14 2" xfId="721" xr:uid="{00000000-0005-0000-0000-0000B8020000}"/>
    <cellStyle name="Accent1 15" xfId="722" xr:uid="{00000000-0005-0000-0000-0000B9020000}"/>
    <cellStyle name="Accent1 15 2" xfId="723" xr:uid="{00000000-0005-0000-0000-0000BA020000}"/>
    <cellStyle name="Accent1 16" xfId="724" xr:uid="{00000000-0005-0000-0000-0000BB020000}"/>
    <cellStyle name="Accent1 16 2" xfId="725" xr:uid="{00000000-0005-0000-0000-0000BC020000}"/>
    <cellStyle name="Accent1 17" xfId="726" xr:uid="{00000000-0005-0000-0000-0000BD020000}"/>
    <cellStyle name="Accent1 17 2" xfId="727" xr:uid="{00000000-0005-0000-0000-0000BE020000}"/>
    <cellStyle name="Accent1 18" xfId="728" xr:uid="{00000000-0005-0000-0000-0000BF020000}"/>
    <cellStyle name="Accent1 18 2" xfId="729" xr:uid="{00000000-0005-0000-0000-0000C0020000}"/>
    <cellStyle name="Accent1 19" xfId="730" xr:uid="{00000000-0005-0000-0000-0000C1020000}"/>
    <cellStyle name="Accent1 19 2" xfId="731" xr:uid="{00000000-0005-0000-0000-0000C2020000}"/>
    <cellStyle name="Accent1 2" xfId="732" xr:uid="{00000000-0005-0000-0000-0000C3020000}"/>
    <cellStyle name="Accent1 2 2" xfId="733" xr:uid="{00000000-0005-0000-0000-0000C4020000}"/>
    <cellStyle name="Accent1 3" xfId="734" xr:uid="{00000000-0005-0000-0000-0000C5020000}"/>
    <cellStyle name="Accent1 3 2" xfId="735" xr:uid="{00000000-0005-0000-0000-0000C6020000}"/>
    <cellStyle name="Accent1 4" xfId="736" xr:uid="{00000000-0005-0000-0000-0000C7020000}"/>
    <cellStyle name="Accent1 4 2" xfId="737" xr:uid="{00000000-0005-0000-0000-0000C8020000}"/>
    <cellStyle name="Accent1 5" xfId="738" xr:uid="{00000000-0005-0000-0000-0000C9020000}"/>
    <cellStyle name="Accent1 5 2" xfId="739" xr:uid="{00000000-0005-0000-0000-0000CA020000}"/>
    <cellStyle name="Accent1 6" xfId="740" xr:uid="{00000000-0005-0000-0000-0000CB020000}"/>
    <cellStyle name="Accent1 6 2" xfId="741" xr:uid="{00000000-0005-0000-0000-0000CC020000}"/>
    <cellStyle name="Accent1 7" xfId="742" xr:uid="{00000000-0005-0000-0000-0000CD020000}"/>
    <cellStyle name="Accent1 7 2" xfId="743" xr:uid="{00000000-0005-0000-0000-0000CE020000}"/>
    <cellStyle name="Accent1 8" xfId="744" xr:uid="{00000000-0005-0000-0000-0000CF020000}"/>
    <cellStyle name="Accent1 8 2" xfId="745" xr:uid="{00000000-0005-0000-0000-0000D0020000}"/>
    <cellStyle name="Accent1 9" xfId="746" xr:uid="{00000000-0005-0000-0000-0000D1020000}"/>
    <cellStyle name="Accent1 9 2" xfId="747" xr:uid="{00000000-0005-0000-0000-0000D2020000}"/>
    <cellStyle name="Accent2 10" xfId="748" xr:uid="{00000000-0005-0000-0000-0000D3020000}"/>
    <cellStyle name="Accent2 10 2" xfId="749" xr:uid="{00000000-0005-0000-0000-0000D4020000}"/>
    <cellStyle name="Accent2 11" xfId="750" xr:uid="{00000000-0005-0000-0000-0000D5020000}"/>
    <cellStyle name="Accent2 11 2" xfId="751" xr:uid="{00000000-0005-0000-0000-0000D6020000}"/>
    <cellStyle name="Accent2 12" xfId="752" xr:uid="{00000000-0005-0000-0000-0000D7020000}"/>
    <cellStyle name="Accent2 12 2" xfId="753" xr:uid="{00000000-0005-0000-0000-0000D8020000}"/>
    <cellStyle name="Accent2 13" xfId="754" xr:uid="{00000000-0005-0000-0000-0000D9020000}"/>
    <cellStyle name="Accent2 13 2" xfId="755" xr:uid="{00000000-0005-0000-0000-0000DA020000}"/>
    <cellStyle name="Accent2 14" xfId="756" xr:uid="{00000000-0005-0000-0000-0000DB020000}"/>
    <cellStyle name="Accent2 14 2" xfId="757" xr:uid="{00000000-0005-0000-0000-0000DC020000}"/>
    <cellStyle name="Accent2 15" xfId="758" xr:uid="{00000000-0005-0000-0000-0000DD020000}"/>
    <cellStyle name="Accent2 15 2" xfId="759" xr:uid="{00000000-0005-0000-0000-0000DE020000}"/>
    <cellStyle name="Accent2 16" xfId="760" xr:uid="{00000000-0005-0000-0000-0000DF020000}"/>
    <cellStyle name="Accent2 16 2" xfId="761" xr:uid="{00000000-0005-0000-0000-0000E0020000}"/>
    <cellStyle name="Accent2 17" xfId="762" xr:uid="{00000000-0005-0000-0000-0000E1020000}"/>
    <cellStyle name="Accent2 17 2" xfId="763" xr:uid="{00000000-0005-0000-0000-0000E2020000}"/>
    <cellStyle name="Accent2 18" xfId="764" xr:uid="{00000000-0005-0000-0000-0000E3020000}"/>
    <cellStyle name="Accent2 18 2" xfId="765" xr:uid="{00000000-0005-0000-0000-0000E4020000}"/>
    <cellStyle name="Accent2 19" xfId="766" xr:uid="{00000000-0005-0000-0000-0000E5020000}"/>
    <cellStyle name="Accent2 19 2" xfId="767" xr:uid="{00000000-0005-0000-0000-0000E6020000}"/>
    <cellStyle name="Accent2 2" xfId="768" xr:uid="{00000000-0005-0000-0000-0000E7020000}"/>
    <cellStyle name="Accent2 2 2" xfId="769" xr:uid="{00000000-0005-0000-0000-0000E8020000}"/>
    <cellStyle name="Accent2 3" xfId="770" xr:uid="{00000000-0005-0000-0000-0000E9020000}"/>
    <cellStyle name="Accent2 3 2" xfId="771" xr:uid="{00000000-0005-0000-0000-0000EA020000}"/>
    <cellStyle name="Accent2 4" xfId="772" xr:uid="{00000000-0005-0000-0000-0000EB020000}"/>
    <cellStyle name="Accent2 4 2" xfId="773" xr:uid="{00000000-0005-0000-0000-0000EC020000}"/>
    <cellStyle name="Accent2 5" xfId="774" xr:uid="{00000000-0005-0000-0000-0000ED020000}"/>
    <cellStyle name="Accent2 5 2" xfId="775" xr:uid="{00000000-0005-0000-0000-0000EE020000}"/>
    <cellStyle name="Accent2 6" xfId="776" xr:uid="{00000000-0005-0000-0000-0000EF020000}"/>
    <cellStyle name="Accent2 6 2" xfId="777" xr:uid="{00000000-0005-0000-0000-0000F0020000}"/>
    <cellStyle name="Accent2 7" xfId="778" xr:uid="{00000000-0005-0000-0000-0000F1020000}"/>
    <cellStyle name="Accent2 7 2" xfId="779" xr:uid="{00000000-0005-0000-0000-0000F2020000}"/>
    <cellStyle name="Accent2 8" xfId="780" xr:uid="{00000000-0005-0000-0000-0000F3020000}"/>
    <cellStyle name="Accent2 8 2" xfId="781" xr:uid="{00000000-0005-0000-0000-0000F4020000}"/>
    <cellStyle name="Accent2 9" xfId="782" xr:uid="{00000000-0005-0000-0000-0000F5020000}"/>
    <cellStyle name="Accent2 9 2" xfId="783" xr:uid="{00000000-0005-0000-0000-0000F6020000}"/>
    <cellStyle name="Accent3 10" xfId="784" xr:uid="{00000000-0005-0000-0000-0000F7020000}"/>
    <cellStyle name="Accent3 10 2" xfId="785" xr:uid="{00000000-0005-0000-0000-0000F8020000}"/>
    <cellStyle name="Accent3 11" xfId="786" xr:uid="{00000000-0005-0000-0000-0000F9020000}"/>
    <cellStyle name="Accent3 11 2" xfId="787" xr:uid="{00000000-0005-0000-0000-0000FA020000}"/>
    <cellStyle name="Accent3 12" xfId="788" xr:uid="{00000000-0005-0000-0000-0000FB020000}"/>
    <cellStyle name="Accent3 12 2" xfId="789" xr:uid="{00000000-0005-0000-0000-0000FC020000}"/>
    <cellStyle name="Accent3 13" xfId="790" xr:uid="{00000000-0005-0000-0000-0000FD020000}"/>
    <cellStyle name="Accent3 13 2" xfId="791" xr:uid="{00000000-0005-0000-0000-0000FE020000}"/>
    <cellStyle name="Accent3 14" xfId="792" xr:uid="{00000000-0005-0000-0000-0000FF020000}"/>
    <cellStyle name="Accent3 14 2" xfId="793" xr:uid="{00000000-0005-0000-0000-000000030000}"/>
    <cellStyle name="Accent3 15" xfId="794" xr:uid="{00000000-0005-0000-0000-000001030000}"/>
    <cellStyle name="Accent3 15 2" xfId="795" xr:uid="{00000000-0005-0000-0000-000002030000}"/>
    <cellStyle name="Accent3 16" xfId="796" xr:uid="{00000000-0005-0000-0000-000003030000}"/>
    <cellStyle name="Accent3 16 2" xfId="797" xr:uid="{00000000-0005-0000-0000-000004030000}"/>
    <cellStyle name="Accent3 17" xfId="798" xr:uid="{00000000-0005-0000-0000-000005030000}"/>
    <cellStyle name="Accent3 17 2" xfId="799" xr:uid="{00000000-0005-0000-0000-000006030000}"/>
    <cellStyle name="Accent3 18" xfId="800" xr:uid="{00000000-0005-0000-0000-000007030000}"/>
    <cellStyle name="Accent3 18 2" xfId="801" xr:uid="{00000000-0005-0000-0000-000008030000}"/>
    <cellStyle name="Accent3 19" xfId="802" xr:uid="{00000000-0005-0000-0000-000009030000}"/>
    <cellStyle name="Accent3 19 2" xfId="803" xr:uid="{00000000-0005-0000-0000-00000A030000}"/>
    <cellStyle name="Accent3 2" xfId="804" xr:uid="{00000000-0005-0000-0000-00000B030000}"/>
    <cellStyle name="Accent3 2 2" xfId="805" xr:uid="{00000000-0005-0000-0000-00000C030000}"/>
    <cellStyle name="Accent3 3" xfId="806" xr:uid="{00000000-0005-0000-0000-00000D030000}"/>
    <cellStyle name="Accent3 3 2" xfId="807" xr:uid="{00000000-0005-0000-0000-00000E030000}"/>
    <cellStyle name="Accent3 4" xfId="808" xr:uid="{00000000-0005-0000-0000-00000F030000}"/>
    <cellStyle name="Accent3 4 2" xfId="809" xr:uid="{00000000-0005-0000-0000-000010030000}"/>
    <cellStyle name="Accent3 5" xfId="810" xr:uid="{00000000-0005-0000-0000-000011030000}"/>
    <cellStyle name="Accent3 5 2" xfId="811" xr:uid="{00000000-0005-0000-0000-000012030000}"/>
    <cellStyle name="Accent3 6" xfId="812" xr:uid="{00000000-0005-0000-0000-000013030000}"/>
    <cellStyle name="Accent3 6 2" xfId="813" xr:uid="{00000000-0005-0000-0000-000014030000}"/>
    <cellStyle name="Accent3 7" xfId="814" xr:uid="{00000000-0005-0000-0000-000015030000}"/>
    <cellStyle name="Accent3 7 2" xfId="815" xr:uid="{00000000-0005-0000-0000-000016030000}"/>
    <cellStyle name="Accent3 8" xfId="816" xr:uid="{00000000-0005-0000-0000-000017030000}"/>
    <cellStyle name="Accent3 8 2" xfId="817" xr:uid="{00000000-0005-0000-0000-000018030000}"/>
    <cellStyle name="Accent3 9" xfId="818" xr:uid="{00000000-0005-0000-0000-000019030000}"/>
    <cellStyle name="Accent3 9 2" xfId="819" xr:uid="{00000000-0005-0000-0000-00001A030000}"/>
    <cellStyle name="Accent4 10" xfId="820" xr:uid="{00000000-0005-0000-0000-00001B030000}"/>
    <cellStyle name="Accent4 10 2" xfId="821" xr:uid="{00000000-0005-0000-0000-00001C030000}"/>
    <cellStyle name="Accent4 11" xfId="822" xr:uid="{00000000-0005-0000-0000-00001D030000}"/>
    <cellStyle name="Accent4 11 2" xfId="823" xr:uid="{00000000-0005-0000-0000-00001E030000}"/>
    <cellStyle name="Accent4 12" xfId="824" xr:uid="{00000000-0005-0000-0000-00001F030000}"/>
    <cellStyle name="Accent4 12 2" xfId="825" xr:uid="{00000000-0005-0000-0000-000020030000}"/>
    <cellStyle name="Accent4 13" xfId="826" xr:uid="{00000000-0005-0000-0000-000021030000}"/>
    <cellStyle name="Accent4 13 2" xfId="827" xr:uid="{00000000-0005-0000-0000-000022030000}"/>
    <cellStyle name="Accent4 14" xfId="828" xr:uid="{00000000-0005-0000-0000-000023030000}"/>
    <cellStyle name="Accent4 14 2" xfId="829" xr:uid="{00000000-0005-0000-0000-000024030000}"/>
    <cellStyle name="Accent4 15" xfId="830" xr:uid="{00000000-0005-0000-0000-000025030000}"/>
    <cellStyle name="Accent4 15 2" xfId="831" xr:uid="{00000000-0005-0000-0000-000026030000}"/>
    <cellStyle name="Accent4 16" xfId="832" xr:uid="{00000000-0005-0000-0000-000027030000}"/>
    <cellStyle name="Accent4 16 2" xfId="833" xr:uid="{00000000-0005-0000-0000-000028030000}"/>
    <cellStyle name="Accent4 17" xfId="834" xr:uid="{00000000-0005-0000-0000-000029030000}"/>
    <cellStyle name="Accent4 17 2" xfId="835" xr:uid="{00000000-0005-0000-0000-00002A030000}"/>
    <cellStyle name="Accent4 18" xfId="836" xr:uid="{00000000-0005-0000-0000-00002B030000}"/>
    <cellStyle name="Accent4 18 2" xfId="837" xr:uid="{00000000-0005-0000-0000-00002C030000}"/>
    <cellStyle name="Accent4 19" xfId="838" xr:uid="{00000000-0005-0000-0000-00002D030000}"/>
    <cellStyle name="Accent4 19 2" xfId="839" xr:uid="{00000000-0005-0000-0000-00002E030000}"/>
    <cellStyle name="Accent4 2" xfId="840" xr:uid="{00000000-0005-0000-0000-00002F030000}"/>
    <cellStyle name="Accent4 2 2" xfId="841" xr:uid="{00000000-0005-0000-0000-000030030000}"/>
    <cellStyle name="Accent4 3" xfId="842" xr:uid="{00000000-0005-0000-0000-000031030000}"/>
    <cellStyle name="Accent4 3 2" xfId="843" xr:uid="{00000000-0005-0000-0000-000032030000}"/>
    <cellStyle name="Accent4 4" xfId="844" xr:uid="{00000000-0005-0000-0000-000033030000}"/>
    <cellStyle name="Accent4 4 2" xfId="845" xr:uid="{00000000-0005-0000-0000-000034030000}"/>
    <cellStyle name="Accent4 5" xfId="846" xr:uid="{00000000-0005-0000-0000-000035030000}"/>
    <cellStyle name="Accent4 5 2" xfId="847" xr:uid="{00000000-0005-0000-0000-000036030000}"/>
    <cellStyle name="Accent4 6" xfId="848" xr:uid="{00000000-0005-0000-0000-000037030000}"/>
    <cellStyle name="Accent4 6 2" xfId="849" xr:uid="{00000000-0005-0000-0000-000038030000}"/>
    <cellStyle name="Accent4 7" xfId="850" xr:uid="{00000000-0005-0000-0000-000039030000}"/>
    <cellStyle name="Accent4 7 2" xfId="851" xr:uid="{00000000-0005-0000-0000-00003A030000}"/>
    <cellStyle name="Accent4 8" xfId="852" xr:uid="{00000000-0005-0000-0000-00003B030000}"/>
    <cellStyle name="Accent4 8 2" xfId="853" xr:uid="{00000000-0005-0000-0000-00003C030000}"/>
    <cellStyle name="Accent4 9" xfId="854" xr:uid="{00000000-0005-0000-0000-00003D030000}"/>
    <cellStyle name="Accent4 9 2" xfId="855" xr:uid="{00000000-0005-0000-0000-00003E030000}"/>
    <cellStyle name="Accent5 10" xfId="856" xr:uid="{00000000-0005-0000-0000-00003F030000}"/>
    <cellStyle name="Accent5 10 2" xfId="857" xr:uid="{00000000-0005-0000-0000-000040030000}"/>
    <cellStyle name="Accent5 11" xfId="858" xr:uid="{00000000-0005-0000-0000-000041030000}"/>
    <cellStyle name="Accent5 11 2" xfId="859" xr:uid="{00000000-0005-0000-0000-000042030000}"/>
    <cellStyle name="Accent5 12" xfId="860" xr:uid="{00000000-0005-0000-0000-000043030000}"/>
    <cellStyle name="Accent5 12 2" xfId="861" xr:uid="{00000000-0005-0000-0000-000044030000}"/>
    <cellStyle name="Accent5 13" xfId="862" xr:uid="{00000000-0005-0000-0000-000045030000}"/>
    <cellStyle name="Accent5 13 2" xfId="863" xr:uid="{00000000-0005-0000-0000-000046030000}"/>
    <cellStyle name="Accent5 14" xfId="864" xr:uid="{00000000-0005-0000-0000-000047030000}"/>
    <cellStyle name="Accent5 14 2" xfId="865" xr:uid="{00000000-0005-0000-0000-000048030000}"/>
    <cellStyle name="Accent5 15" xfId="866" xr:uid="{00000000-0005-0000-0000-000049030000}"/>
    <cellStyle name="Accent5 15 2" xfId="867" xr:uid="{00000000-0005-0000-0000-00004A030000}"/>
    <cellStyle name="Accent5 16" xfId="868" xr:uid="{00000000-0005-0000-0000-00004B030000}"/>
    <cellStyle name="Accent5 16 2" xfId="869" xr:uid="{00000000-0005-0000-0000-00004C030000}"/>
    <cellStyle name="Accent5 17" xfId="870" xr:uid="{00000000-0005-0000-0000-00004D030000}"/>
    <cellStyle name="Accent5 17 2" xfId="871" xr:uid="{00000000-0005-0000-0000-00004E030000}"/>
    <cellStyle name="Accent5 18" xfId="872" xr:uid="{00000000-0005-0000-0000-00004F030000}"/>
    <cellStyle name="Accent5 18 2" xfId="873" xr:uid="{00000000-0005-0000-0000-000050030000}"/>
    <cellStyle name="Accent5 19" xfId="874" xr:uid="{00000000-0005-0000-0000-000051030000}"/>
    <cellStyle name="Accent5 19 2" xfId="875" xr:uid="{00000000-0005-0000-0000-000052030000}"/>
    <cellStyle name="Accent5 2" xfId="876" xr:uid="{00000000-0005-0000-0000-000053030000}"/>
    <cellStyle name="Accent5 2 2" xfId="877" xr:uid="{00000000-0005-0000-0000-000054030000}"/>
    <cellStyle name="Accent5 3" xfId="878" xr:uid="{00000000-0005-0000-0000-000055030000}"/>
    <cellStyle name="Accent5 3 2" xfId="879" xr:uid="{00000000-0005-0000-0000-000056030000}"/>
    <cellStyle name="Accent5 4" xfId="880" xr:uid="{00000000-0005-0000-0000-000057030000}"/>
    <cellStyle name="Accent5 4 2" xfId="881" xr:uid="{00000000-0005-0000-0000-000058030000}"/>
    <cellStyle name="Accent5 5" xfId="882" xr:uid="{00000000-0005-0000-0000-000059030000}"/>
    <cellStyle name="Accent5 5 2" xfId="883" xr:uid="{00000000-0005-0000-0000-00005A030000}"/>
    <cellStyle name="Accent5 6" xfId="884" xr:uid="{00000000-0005-0000-0000-00005B030000}"/>
    <cellStyle name="Accent5 6 2" xfId="885" xr:uid="{00000000-0005-0000-0000-00005C030000}"/>
    <cellStyle name="Accent5 7" xfId="886" xr:uid="{00000000-0005-0000-0000-00005D030000}"/>
    <cellStyle name="Accent5 7 2" xfId="887" xr:uid="{00000000-0005-0000-0000-00005E030000}"/>
    <cellStyle name="Accent5 8" xfId="888" xr:uid="{00000000-0005-0000-0000-00005F030000}"/>
    <cellStyle name="Accent5 8 2" xfId="889" xr:uid="{00000000-0005-0000-0000-000060030000}"/>
    <cellStyle name="Accent5 9" xfId="890" xr:uid="{00000000-0005-0000-0000-000061030000}"/>
    <cellStyle name="Accent5 9 2" xfId="891" xr:uid="{00000000-0005-0000-0000-000062030000}"/>
    <cellStyle name="Accent6 10" xfId="892" xr:uid="{00000000-0005-0000-0000-000063030000}"/>
    <cellStyle name="Accent6 10 2" xfId="893" xr:uid="{00000000-0005-0000-0000-000064030000}"/>
    <cellStyle name="Accent6 11" xfId="894" xr:uid="{00000000-0005-0000-0000-000065030000}"/>
    <cellStyle name="Accent6 11 2" xfId="895" xr:uid="{00000000-0005-0000-0000-000066030000}"/>
    <cellStyle name="Accent6 12" xfId="896" xr:uid="{00000000-0005-0000-0000-000067030000}"/>
    <cellStyle name="Accent6 12 2" xfId="897" xr:uid="{00000000-0005-0000-0000-000068030000}"/>
    <cellStyle name="Accent6 13" xfId="898" xr:uid="{00000000-0005-0000-0000-000069030000}"/>
    <cellStyle name="Accent6 13 2" xfId="899" xr:uid="{00000000-0005-0000-0000-00006A030000}"/>
    <cellStyle name="Accent6 14" xfId="900" xr:uid="{00000000-0005-0000-0000-00006B030000}"/>
    <cellStyle name="Accent6 14 2" xfId="901" xr:uid="{00000000-0005-0000-0000-00006C030000}"/>
    <cellStyle name="Accent6 15" xfId="902" xr:uid="{00000000-0005-0000-0000-00006D030000}"/>
    <cellStyle name="Accent6 15 2" xfId="903" xr:uid="{00000000-0005-0000-0000-00006E030000}"/>
    <cellStyle name="Accent6 16" xfId="904" xr:uid="{00000000-0005-0000-0000-00006F030000}"/>
    <cellStyle name="Accent6 16 2" xfId="905" xr:uid="{00000000-0005-0000-0000-000070030000}"/>
    <cellStyle name="Accent6 17" xfId="906" xr:uid="{00000000-0005-0000-0000-000071030000}"/>
    <cellStyle name="Accent6 17 2" xfId="907" xr:uid="{00000000-0005-0000-0000-000072030000}"/>
    <cellStyle name="Accent6 18" xfId="908" xr:uid="{00000000-0005-0000-0000-000073030000}"/>
    <cellStyle name="Accent6 18 2" xfId="909" xr:uid="{00000000-0005-0000-0000-000074030000}"/>
    <cellStyle name="Accent6 19" xfId="910" xr:uid="{00000000-0005-0000-0000-000075030000}"/>
    <cellStyle name="Accent6 19 2" xfId="911" xr:uid="{00000000-0005-0000-0000-000076030000}"/>
    <cellStyle name="Accent6 2" xfId="912" xr:uid="{00000000-0005-0000-0000-000077030000}"/>
    <cellStyle name="Accent6 2 2" xfId="913" xr:uid="{00000000-0005-0000-0000-000078030000}"/>
    <cellStyle name="Accent6 3" xfId="914" xr:uid="{00000000-0005-0000-0000-000079030000}"/>
    <cellStyle name="Accent6 3 2" xfId="915" xr:uid="{00000000-0005-0000-0000-00007A030000}"/>
    <cellStyle name="Accent6 4" xfId="916" xr:uid="{00000000-0005-0000-0000-00007B030000}"/>
    <cellStyle name="Accent6 4 2" xfId="917" xr:uid="{00000000-0005-0000-0000-00007C030000}"/>
    <cellStyle name="Accent6 5" xfId="918" xr:uid="{00000000-0005-0000-0000-00007D030000}"/>
    <cellStyle name="Accent6 5 2" xfId="919" xr:uid="{00000000-0005-0000-0000-00007E030000}"/>
    <cellStyle name="Accent6 6" xfId="920" xr:uid="{00000000-0005-0000-0000-00007F030000}"/>
    <cellStyle name="Accent6 6 2" xfId="921" xr:uid="{00000000-0005-0000-0000-000080030000}"/>
    <cellStyle name="Accent6 7" xfId="922" xr:uid="{00000000-0005-0000-0000-000081030000}"/>
    <cellStyle name="Accent6 7 2" xfId="923" xr:uid="{00000000-0005-0000-0000-000082030000}"/>
    <cellStyle name="Accent6 8" xfId="924" xr:uid="{00000000-0005-0000-0000-000083030000}"/>
    <cellStyle name="Accent6 8 2" xfId="925" xr:uid="{00000000-0005-0000-0000-000084030000}"/>
    <cellStyle name="Accent6 9" xfId="926" xr:uid="{00000000-0005-0000-0000-000085030000}"/>
    <cellStyle name="Accent6 9 2" xfId="927" xr:uid="{00000000-0005-0000-0000-000086030000}"/>
    <cellStyle name="Avertissement 10" xfId="928" xr:uid="{00000000-0005-0000-0000-000087030000}"/>
    <cellStyle name="Avertissement 10 2" xfId="929" xr:uid="{00000000-0005-0000-0000-000088030000}"/>
    <cellStyle name="Avertissement 11" xfId="930" xr:uid="{00000000-0005-0000-0000-000089030000}"/>
    <cellStyle name="Avertissement 11 2" xfId="931" xr:uid="{00000000-0005-0000-0000-00008A030000}"/>
    <cellStyle name="Avertissement 12" xfId="932" xr:uid="{00000000-0005-0000-0000-00008B030000}"/>
    <cellStyle name="Avertissement 12 2" xfId="933" xr:uid="{00000000-0005-0000-0000-00008C030000}"/>
    <cellStyle name="Avertissement 13" xfId="934" xr:uid="{00000000-0005-0000-0000-00008D030000}"/>
    <cellStyle name="Avertissement 13 2" xfId="935" xr:uid="{00000000-0005-0000-0000-00008E030000}"/>
    <cellStyle name="Avertissement 14" xfId="936" xr:uid="{00000000-0005-0000-0000-00008F030000}"/>
    <cellStyle name="Avertissement 14 2" xfId="937" xr:uid="{00000000-0005-0000-0000-000090030000}"/>
    <cellStyle name="Avertissement 15" xfId="938" xr:uid="{00000000-0005-0000-0000-000091030000}"/>
    <cellStyle name="Avertissement 15 2" xfId="939" xr:uid="{00000000-0005-0000-0000-000092030000}"/>
    <cellStyle name="Avertissement 16" xfId="940" xr:uid="{00000000-0005-0000-0000-000093030000}"/>
    <cellStyle name="Avertissement 16 2" xfId="941" xr:uid="{00000000-0005-0000-0000-000094030000}"/>
    <cellStyle name="Avertissement 17" xfId="942" xr:uid="{00000000-0005-0000-0000-000095030000}"/>
    <cellStyle name="Avertissement 17 2" xfId="943" xr:uid="{00000000-0005-0000-0000-000096030000}"/>
    <cellStyle name="Avertissement 18" xfId="944" xr:uid="{00000000-0005-0000-0000-000097030000}"/>
    <cellStyle name="Avertissement 18 2" xfId="945" xr:uid="{00000000-0005-0000-0000-000098030000}"/>
    <cellStyle name="Avertissement 19" xfId="946" xr:uid="{00000000-0005-0000-0000-000099030000}"/>
    <cellStyle name="Avertissement 19 2" xfId="947" xr:uid="{00000000-0005-0000-0000-00009A030000}"/>
    <cellStyle name="Avertissement 2" xfId="948" xr:uid="{00000000-0005-0000-0000-00009B030000}"/>
    <cellStyle name="Avertissement 2 2" xfId="949" xr:uid="{00000000-0005-0000-0000-00009C030000}"/>
    <cellStyle name="Avertissement 3" xfId="950" xr:uid="{00000000-0005-0000-0000-00009D030000}"/>
    <cellStyle name="Avertissement 3 2" xfId="951" xr:uid="{00000000-0005-0000-0000-00009E030000}"/>
    <cellStyle name="Avertissement 4" xfId="952" xr:uid="{00000000-0005-0000-0000-00009F030000}"/>
    <cellStyle name="Avertissement 4 2" xfId="953" xr:uid="{00000000-0005-0000-0000-0000A0030000}"/>
    <cellStyle name="Avertissement 5" xfId="954" xr:uid="{00000000-0005-0000-0000-0000A1030000}"/>
    <cellStyle name="Avertissement 5 2" xfId="955" xr:uid="{00000000-0005-0000-0000-0000A2030000}"/>
    <cellStyle name="Avertissement 6" xfId="956" xr:uid="{00000000-0005-0000-0000-0000A3030000}"/>
    <cellStyle name="Avertissement 6 2" xfId="957" xr:uid="{00000000-0005-0000-0000-0000A4030000}"/>
    <cellStyle name="Avertissement 7" xfId="958" xr:uid="{00000000-0005-0000-0000-0000A5030000}"/>
    <cellStyle name="Avertissement 7 2" xfId="959" xr:uid="{00000000-0005-0000-0000-0000A6030000}"/>
    <cellStyle name="Avertissement 8" xfId="960" xr:uid="{00000000-0005-0000-0000-0000A7030000}"/>
    <cellStyle name="Avertissement 8 2" xfId="961" xr:uid="{00000000-0005-0000-0000-0000A8030000}"/>
    <cellStyle name="Avertissement 9" xfId="962" xr:uid="{00000000-0005-0000-0000-0000A9030000}"/>
    <cellStyle name="Avertissement 9 2" xfId="963" xr:uid="{00000000-0005-0000-0000-0000AA030000}"/>
    <cellStyle name="Calc Currency (0)" xfId="964" xr:uid="{00000000-0005-0000-0000-0000AB030000}"/>
    <cellStyle name="Calc Currency (2)" xfId="965" xr:uid="{00000000-0005-0000-0000-0000AC030000}"/>
    <cellStyle name="Calc Percent (0)" xfId="966" xr:uid="{00000000-0005-0000-0000-0000AD030000}"/>
    <cellStyle name="Calc Percent (1)" xfId="967" xr:uid="{00000000-0005-0000-0000-0000AE030000}"/>
    <cellStyle name="Calc Percent (2)" xfId="968" xr:uid="{00000000-0005-0000-0000-0000AF030000}"/>
    <cellStyle name="Calc Units (0)" xfId="969" xr:uid="{00000000-0005-0000-0000-0000B0030000}"/>
    <cellStyle name="Calc Units (1)" xfId="970" xr:uid="{00000000-0005-0000-0000-0000B1030000}"/>
    <cellStyle name="Calc Units (2)" xfId="971" xr:uid="{00000000-0005-0000-0000-0000B2030000}"/>
    <cellStyle name="Calcul 10" xfId="972" xr:uid="{00000000-0005-0000-0000-0000B3030000}"/>
    <cellStyle name="Calcul 10 2" xfId="973" xr:uid="{00000000-0005-0000-0000-0000B4030000}"/>
    <cellStyle name="Calcul 11" xfId="974" xr:uid="{00000000-0005-0000-0000-0000B5030000}"/>
    <cellStyle name="Calcul 11 2" xfId="975" xr:uid="{00000000-0005-0000-0000-0000B6030000}"/>
    <cellStyle name="Calcul 12" xfId="976" xr:uid="{00000000-0005-0000-0000-0000B7030000}"/>
    <cellStyle name="Calcul 12 2" xfId="977" xr:uid="{00000000-0005-0000-0000-0000B8030000}"/>
    <cellStyle name="Calcul 13" xfId="978" xr:uid="{00000000-0005-0000-0000-0000B9030000}"/>
    <cellStyle name="Calcul 13 2" xfId="979" xr:uid="{00000000-0005-0000-0000-0000BA030000}"/>
    <cellStyle name="Calcul 14" xfId="980" xr:uid="{00000000-0005-0000-0000-0000BB030000}"/>
    <cellStyle name="Calcul 14 2" xfId="981" xr:uid="{00000000-0005-0000-0000-0000BC030000}"/>
    <cellStyle name="Calcul 15" xfId="982" xr:uid="{00000000-0005-0000-0000-0000BD030000}"/>
    <cellStyle name="Calcul 15 2" xfId="983" xr:uid="{00000000-0005-0000-0000-0000BE030000}"/>
    <cellStyle name="Calcul 16" xfId="984" xr:uid="{00000000-0005-0000-0000-0000BF030000}"/>
    <cellStyle name="Calcul 16 2" xfId="985" xr:uid="{00000000-0005-0000-0000-0000C0030000}"/>
    <cellStyle name="Calcul 17" xfId="986" xr:uid="{00000000-0005-0000-0000-0000C1030000}"/>
    <cellStyle name="Calcul 17 2" xfId="987" xr:uid="{00000000-0005-0000-0000-0000C2030000}"/>
    <cellStyle name="Calcul 18" xfId="988" xr:uid="{00000000-0005-0000-0000-0000C3030000}"/>
    <cellStyle name="Calcul 18 2" xfId="989" xr:uid="{00000000-0005-0000-0000-0000C4030000}"/>
    <cellStyle name="Calcul 19" xfId="990" xr:uid="{00000000-0005-0000-0000-0000C5030000}"/>
    <cellStyle name="Calcul 19 2" xfId="991" xr:uid="{00000000-0005-0000-0000-0000C6030000}"/>
    <cellStyle name="Calcul 2" xfId="992" xr:uid="{00000000-0005-0000-0000-0000C7030000}"/>
    <cellStyle name="Calcul 2 2" xfId="993" xr:uid="{00000000-0005-0000-0000-0000C8030000}"/>
    <cellStyle name="Calcul 3" xfId="994" xr:uid="{00000000-0005-0000-0000-0000C9030000}"/>
    <cellStyle name="Calcul 3 2" xfId="995" xr:uid="{00000000-0005-0000-0000-0000CA030000}"/>
    <cellStyle name="Calcul 4" xfId="996" xr:uid="{00000000-0005-0000-0000-0000CB030000}"/>
    <cellStyle name="Calcul 4 2" xfId="997" xr:uid="{00000000-0005-0000-0000-0000CC030000}"/>
    <cellStyle name="Calcul 5" xfId="998" xr:uid="{00000000-0005-0000-0000-0000CD030000}"/>
    <cellStyle name="Calcul 5 2" xfId="999" xr:uid="{00000000-0005-0000-0000-0000CE030000}"/>
    <cellStyle name="Calcul 6" xfId="1000" xr:uid="{00000000-0005-0000-0000-0000CF030000}"/>
    <cellStyle name="Calcul 6 2" xfId="1001" xr:uid="{00000000-0005-0000-0000-0000D0030000}"/>
    <cellStyle name="Calcul 7" xfId="1002" xr:uid="{00000000-0005-0000-0000-0000D1030000}"/>
    <cellStyle name="Calcul 7 2" xfId="1003" xr:uid="{00000000-0005-0000-0000-0000D2030000}"/>
    <cellStyle name="Calcul 8" xfId="1004" xr:uid="{00000000-0005-0000-0000-0000D3030000}"/>
    <cellStyle name="Calcul 8 2" xfId="1005" xr:uid="{00000000-0005-0000-0000-0000D4030000}"/>
    <cellStyle name="Calcul 9" xfId="1006" xr:uid="{00000000-0005-0000-0000-0000D5030000}"/>
    <cellStyle name="Calcul 9 2" xfId="1007" xr:uid="{00000000-0005-0000-0000-0000D6030000}"/>
    <cellStyle name="Cellule liée 10" xfId="1008" xr:uid="{00000000-0005-0000-0000-0000D7030000}"/>
    <cellStyle name="Cellule liée 10 2" xfId="1009" xr:uid="{00000000-0005-0000-0000-0000D8030000}"/>
    <cellStyle name="Cellule liée 11" xfId="1010" xr:uid="{00000000-0005-0000-0000-0000D9030000}"/>
    <cellStyle name="Cellule liée 11 2" xfId="1011" xr:uid="{00000000-0005-0000-0000-0000DA030000}"/>
    <cellStyle name="Cellule liée 12" xfId="1012" xr:uid="{00000000-0005-0000-0000-0000DB030000}"/>
    <cellStyle name="Cellule liée 12 2" xfId="1013" xr:uid="{00000000-0005-0000-0000-0000DC030000}"/>
    <cellStyle name="Cellule liée 13" xfId="1014" xr:uid="{00000000-0005-0000-0000-0000DD030000}"/>
    <cellStyle name="Cellule liée 13 2" xfId="1015" xr:uid="{00000000-0005-0000-0000-0000DE030000}"/>
    <cellStyle name="Cellule liée 14" xfId="1016" xr:uid="{00000000-0005-0000-0000-0000DF030000}"/>
    <cellStyle name="Cellule liée 14 2" xfId="1017" xr:uid="{00000000-0005-0000-0000-0000E0030000}"/>
    <cellStyle name="Cellule liée 15" xfId="1018" xr:uid="{00000000-0005-0000-0000-0000E1030000}"/>
    <cellStyle name="Cellule liée 15 2" xfId="1019" xr:uid="{00000000-0005-0000-0000-0000E2030000}"/>
    <cellStyle name="Cellule liée 16" xfId="1020" xr:uid="{00000000-0005-0000-0000-0000E3030000}"/>
    <cellStyle name="Cellule liée 16 2" xfId="1021" xr:uid="{00000000-0005-0000-0000-0000E4030000}"/>
    <cellStyle name="Cellule liée 17" xfId="1022" xr:uid="{00000000-0005-0000-0000-0000E5030000}"/>
    <cellStyle name="Cellule liée 17 2" xfId="1023" xr:uid="{00000000-0005-0000-0000-0000E6030000}"/>
    <cellStyle name="Cellule liée 18" xfId="1024" xr:uid="{00000000-0005-0000-0000-0000E7030000}"/>
    <cellStyle name="Cellule liée 18 2" xfId="1025" xr:uid="{00000000-0005-0000-0000-0000E8030000}"/>
    <cellStyle name="Cellule liée 19" xfId="1026" xr:uid="{00000000-0005-0000-0000-0000E9030000}"/>
    <cellStyle name="Cellule liée 19 2" xfId="1027" xr:uid="{00000000-0005-0000-0000-0000EA030000}"/>
    <cellStyle name="Cellule liée 2" xfId="1028" xr:uid="{00000000-0005-0000-0000-0000EB030000}"/>
    <cellStyle name="Cellule liée 2 2" xfId="1029" xr:uid="{00000000-0005-0000-0000-0000EC030000}"/>
    <cellStyle name="Cellule liée 3" xfId="1030" xr:uid="{00000000-0005-0000-0000-0000ED030000}"/>
    <cellStyle name="Cellule liée 3 2" xfId="1031" xr:uid="{00000000-0005-0000-0000-0000EE030000}"/>
    <cellStyle name="Cellule liée 4" xfId="1032" xr:uid="{00000000-0005-0000-0000-0000EF030000}"/>
    <cellStyle name="Cellule liée 4 2" xfId="1033" xr:uid="{00000000-0005-0000-0000-0000F0030000}"/>
    <cellStyle name="Cellule liée 5" xfId="1034" xr:uid="{00000000-0005-0000-0000-0000F1030000}"/>
    <cellStyle name="Cellule liée 5 2" xfId="1035" xr:uid="{00000000-0005-0000-0000-0000F2030000}"/>
    <cellStyle name="Cellule liée 6" xfId="1036" xr:uid="{00000000-0005-0000-0000-0000F3030000}"/>
    <cellStyle name="Cellule liée 6 2" xfId="1037" xr:uid="{00000000-0005-0000-0000-0000F4030000}"/>
    <cellStyle name="Cellule liée 7" xfId="1038" xr:uid="{00000000-0005-0000-0000-0000F5030000}"/>
    <cellStyle name="Cellule liée 7 2" xfId="1039" xr:uid="{00000000-0005-0000-0000-0000F6030000}"/>
    <cellStyle name="Cellule liée 8" xfId="1040" xr:uid="{00000000-0005-0000-0000-0000F7030000}"/>
    <cellStyle name="Cellule liée 8 2" xfId="1041" xr:uid="{00000000-0005-0000-0000-0000F8030000}"/>
    <cellStyle name="Cellule liée 9" xfId="1042" xr:uid="{00000000-0005-0000-0000-0000F9030000}"/>
    <cellStyle name="Cellule liée 9 2" xfId="1043" xr:uid="{00000000-0005-0000-0000-0000FA030000}"/>
    <cellStyle name="Comma  - Style1" xfId="1044" xr:uid="{00000000-0005-0000-0000-0000FB030000}"/>
    <cellStyle name="Comma  - Style2" xfId="1045" xr:uid="{00000000-0005-0000-0000-0000FC030000}"/>
    <cellStyle name="Comma  - Style3" xfId="1046" xr:uid="{00000000-0005-0000-0000-0000FD030000}"/>
    <cellStyle name="Comma  - Style4" xfId="1047" xr:uid="{00000000-0005-0000-0000-0000FE030000}"/>
    <cellStyle name="Comma  - Style5" xfId="1048" xr:uid="{00000000-0005-0000-0000-0000FF030000}"/>
    <cellStyle name="Comma  - Style6" xfId="1049" xr:uid="{00000000-0005-0000-0000-000000040000}"/>
    <cellStyle name="Comma  - Style7" xfId="1050" xr:uid="{00000000-0005-0000-0000-000001040000}"/>
    <cellStyle name="Comma  - Style8" xfId="1051" xr:uid="{00000000-0005-0000-0000-000002040000}"/>
    <cellStyle name="Comma [0]_fiches techniques" xfId="1052" xr:uid="{00000000-0005-0000-0000-000003040000}"/>
    <cellStyle name="Comma [00]" xfId="1053" xr:uid="{00000000-0005-0000-0000-000004040000}"/>
    <cellStyle name="Comma_fiches techniques" xfId="1054" xr:uid="{00000000-0005-0000-0000-000005040000}"/>
    <cellStyle name="Commentaire 10" xfId="1055" xr:uid="{00000000-0005-0000-0000-000006040000}"/>
    <cellStyle name="Commentaire 10 2" xfId="1056" xr:uid="{00000000-0005-0000-0000-000007040000}"/>
    <cellStyle name="Commentaire 11" xfId="1057" xr:uid="{00000000-0005-0000-0000-000008040000}"/>
    <cellStyle name="Commentaire 11 2" xfId="1058" xr:uid="{00000000-0005-0000-0000-000009040000}"/>
    <cellStyle name="Commentaire 12" xfId="1059" xr:uid="{00000000-0005-0000-0000-00000A040000}"/>
    <cellStyle name="Commentaire 12 2" xfId="1060" xr:uid="{00000000-0005-0000-0000-00000B040000}"/>
    <cellStyle name="Commentaire 13" xfId="1061" xr:uid="{00000000-0005-0000-0000-00000C040000}"/>
    <cellStyle name="Commentaire 13 2" xfId="1062" xr:uid="{00000000-0005-0000-0000-00000D040000}"/>
    <cellStyle name="Commentaire 14" xfId="1063" xr:uid="{00000000-0005-0000-0000-00000E040000}"/>
    <cellStyle name="Commentaire 14 2" xfId="1064" xr:uid="{00000000-0005-0000-0000-00000F040000}"/>
    <cellStyle name="Commentaire 15" xfId="1065" xr:uid="{00000000-0005-0000-0000-000010040000}"/>
    <cellStyle name="Commentaire 15 2" xfId="1066" xr:uid="{00000000-0005-0000-0000-000011040000}"/>
    <cellStyle name="Commentaire 16" xfId="1067" xr:uid="{00000000-0005-0000-0000-000012040000}"/>
    <cellStyle name="Commentaire 16 2" xfId="1068" xr:uid="{00000000-0005-0000-0000-000013040000}"/>
    <cellStyle name="Commentaire 17" xfId="1069" xr:uid="{00000000-0005-0000-0000-000014040000}"/>
    <cellStyle name="Commentaire 17 2" xfId="1070" xr:uid="{00000000-0005-0000-0000-000015040000}"/>
    <cellStyle name="Commentaire 18" xfId="1071" xr:uid="{00000000-0005-0000-0000-000016040000}"/>
    <cellStyle name="Commentaire 18 2" xfId="1072" xr:uid="{00000000-0005-0000-0000-000017040000}"/>
    <cellStyle name="Commentaire 19" xfId="1073" xr:uid="{00000000-0005-0000-0000-000018040000}"/>
    <cellStyle name="Commentaire 19 2" xfId="1074" xr:uid="{00000000-0005-0000-0000-000019040000}"/>
    <cellStyle name="Commentaire 2" xfId="1075" xr:uid="{00000000-0005-0000-0000-00001A040000}"/>
    <cellStyle name="Commentaire 2 2" xfId="1076" xr:uid="{00000000-0005-0000-0000-00001B040000}"/>
    <cellStyle name="Commentaire 3" xfId="1077" xr:uid="{00000000-0005-0000-0000-00001C040000}"/>
    <cellStyle name="Commentaire 3 2" xfId="1078" xr:uid="{00000000-0005-0000-0000-00001D040000}"/>
    <cellStyle name="Commentaire 4" xfId="1079" xr:uid="{00000000-0005-0000-0000-00001E040000}"/>
    <cellStyle name="Commentaire 4 2" xfId="1080" xr:uid="{00000000-0005-0000-0000-00001F040000}"/>
    <cellStyle name="Commentaire 5" xfId="1081" xr:uid="{00000000-0005-0000-0000-000020040000}"/>
    <cellStyle name="Commentaire 5 2" xfId="1082" xr:uid="{00000000-0005-0000-0000-000021040000}"/>
    <cellStyle name="Commentaire 6" xfId="1083" xr:uid="{00000000-0005-0000-0000-000022040000}"/>
    <cellStyle name="Commentaire 6 2" xfId="1084" xr:uid="{00000000-0005-0000-0000-000023040000}"/>
    <cellStyle name="Commentaire 7" xfId="1085" xr:uid="{00000000-0005-0000-0000-000024040000}"/>
    <cellStyle name="Commentaire 7 2" xfId="1086" xr:uid="{00000000-0005-0000-0000-000025040000}"/>
    <cellStyle name="Commentaire 8" xfId="1087" xr:uid="{00000000-0005-0000-0000-000026040000}"/>
    <cellStyle name="Commentaire 8 2" xfId="1088" xr:uid="{00000000-0005-0000-0000-000027040000}"/>
    <cellStyle name="Commentaire 9" xfId="1089" xr:uid="{00000000-0005-0000-0000-000028040000}"/>
    <cellStyle name="Commentaire 9 2" xfId="1090" xr:uid="{00000000-0005-0000-0000-000029040000}"/>
    <cellStyle name="Currency [0]_fiches techniques" xfId="1091" xr:uid="{00000000-0005-0000-0000-00002A040000}"/>
    <cellStyle name="Currency [00]" xfId="1092" xr:uid="{00000000-0005-0000-0000-00002B040000}"/>
    <cellStyle name="Currency_fiches techniques" xfId="1093" xr:uid="{00000000-0005-0000-0000-00002C040000}"/>
    <cellStyle name="Date Short" xfId="1094" xr:uid="{00000000-0005-0000-0000-00002D040000}"/>
    <cellStyle name="DELTA" xfId="1095" xr:uid="{00000000-0005-0000-0000-00002E040000}"/>
    <cellStyle name="Enter Currency (0)" xfId="1096" xr:uid="{00000000-0005-0000-0000-00002F040000}"/>
    <cellStyle name="Enter Currency (2)" xfId="1097" xr:uid="{00000000-0005-0000-0000-000030040000}"/>
    <cellStyle name="Enter Units (0)" xfId="1098" xr:uid="{00000000-0005-0000-0000-000031040000}"/>
    <cellStyle name="Enter Units (1)" xfId="1099" xr:uid="{00000000-0005-0000-0000-000032040000}"/>
    <cellStyle name="Enter Units (2)" xfId="1100" xr:uid="{00000000-0005-0000-0000-000033040000}"/>
    <cellStyle name="Entrée 10" xfId="1101" xr:uid="{00000000-0005-0000-0000-000034040000}"/>
    <cellStyle name="Entrée 10 2" xfId="1102" xr:uid="{00000000-0005-0000-0000-000035040000}"/>
    <cellStyle name="Entrée 11" xfId="1103" xr:uid="{00000000-0005-0000-0000-000036040000}"/>
    <cellStyle name="Entrée 11 2" xfId="1104" xr:uid="{00000000-0005-0000-0000-000037040000}"/>
    <cellStyle name="Entrée 12" xfId="1105" xr:uid="{00000000-0005-0000-0000-000038040000}"/>
    <cellStyle name="Entrée 12 2" xfId="1106" xr:uid="{00000000-0005-0000-0000-000039040000}"/>
    <cellStyle name="Entrée 13" xfId="1107" xr:uid="{00000000-0005-0000-0000-00003A040000}"/>
    <cellStyle name="Entrée 13 2" xfId="1108" xr:uid="{00000000-0005-0000-0000-00003B040000}"/>
    <cellStyle name="Entrée 14" xfId="1109" xr:uid="{00000000-0005-0000-0000-00003C040000}"/>
    <cellStyle name="Entrée 14 2" xfId="1110" xr:uid="{00000000-0005-0000-0000-00003D040000}"/>
    <cellStyle name="Entrée 15" xfId="1111" xr:uid="{00000000-0005-0000-0000-00003E040000}"/>
    <cellStyle name="Entrée 15 2" xfId="1112" xr:uid="{00000000-0005-0000-0000-00003F040000}"/>
    <cellStyle name="Entrée 16" xfId="1113" xr:uid="{00000000-0005-0000-0000-000040040000}"/>
    <cellStyle name="Entrée 16 2" xfId="1114" xr:uid="{00000000-0005-0000-0000-000041040000}"/>
    <cellStyle name="Entrée 17" xfId="1115" xr:uid="{00000000-0005-0000-0000-000042040000}"/>
    <cellStyle name="Entrée 17 2" xfId="1116" xr:uid="{00000000-0005-0000-0000-000043040000}"/>
    <cellStyle name="Entrée 18" xfId="1117" xr:uid="{00000000-0005-0000-0000-000044040000}"/>
    <cellStyle name="Entrée 18 2" xfId="1118" xr:uid="{00000000-0005-0000-0000-000045040000}"/>
    <cellStyle name="Entrée 19" xfId="1119" xr:uid="{00000000-0005-0000-0000-000046040000}"/>
    <cellStyle name="Entrée 19 2" xfId="1120" xr:uid="{00000000-0005-0000-0000-000047040000}"/>
    <cellStyle name="Entrée 2" xfId="1121" xr:uid="{00000000-0005-0000-0000-000048040000}"/>
    <cellStyle name="Entrée 2 2" xfId="1122" xr:uid="{00000000-0005-0000-0000-000049040000}"/>
    <cellStyle name="Entrée 3" xfId="1123" xr:uid="{00000000-0005-0000-0000-00004A040000}"/>
    <cellStyle name="Entrée 3 2" xfId="1124" xr:uid="{00000000-0005-0000-0000-00004B040000}"/>
    <cellStyle name="Entrée 4" xfId="1125" xr:uid="{00000000-0005-0000-0000-00004C040000}"/>
    <cellStyle name="Entrée 4 2" xfId="1126" xr:uid="{00000000-0005-0000-0000-00004D040000}"/>
    <cellStyle name="Entrée 5" xfId="1127" xr:uid="{00000000-0005-0000-0000-00004E040000}"/>
    <cellStyle name="Entrée 5 2" xfId="1128" xr:uid="{00000000-0005-0000-0000-00004F040000}"/>
    <cellStyle name="Entrée 6" xfId="1129" xr:uid="{00000000-0005-0000-0000-000050040000}"/>
    <cellStyle name="Entrée 6 2" xfId="1130" xr:uid="{00000000-0005-0000-0000-000051040000}"/>
    <cellStyle name="Entrée 7" xfId="1131" xr:uid="{00000000-0005-0000-0000-000052040000}"/>
    <cellStyle name="Entrée 7 2" xfId="1132" xr:uid="{00000000-0005-0000-0000-000053040000}"/>
    <cellStyle name="Entrée 8" xfId="1133" xr:uid="{00000000-0005-0000-0000-000054040000}"/>
    <cellStyle name="Entrée 8 2" xfId="1134" xr:uid="{00000000-0005-0000-0000-000055040000}"/>
    <cellStyle name="Entrée 9" xfId="1135" xr:uid="{00000000-0005-0000-0000-000056040000}"/>
    <cellStyle name="Entrée 9 2" xfId="1136" xr:uid="{00000000-0005-0000-0000-000057040000}"/>
    <cellStyle name="Euro" xfId="1137" xr:uid="{00000000-0005-0000-0000-000058040000}"/>
    <cellStyle name="Euro 10" xfId="1138" xr:uid="{00000000-0005-0000-0000-000059040000}"/>
    <cellStyle name="Euro 10 2" xfId="1713" xr:uid="{00000000-0005-0000-0000-00005A040000}"/>
    <cellStyle name="Euro 11" xfId="1139" xr:uid="{00000000-0005-0000-0000-00005B040000}"/>
    <cellStyle name="Euro 11 2" xfId="1714" xr:uid="{00000000-0005-0000-0000-00005C040000}"/>
    <cellStyle name="Euro 12" xfId="1140" xr:uid="{00000000-0005-0000-0000-00005D040000}"/>
    <cellStyle name="Euro 12 2" xfId="1715" xr:uid="{00000000-0005-0000-0000-00005E040000}"/>
    <cellStyle name="Euro 13" xfId="1141" xr:uid="{00000000-0005-0000-0000-00005F040000}"/>
    <cellStyle name="Euro 13 2" xfId="1716" xr:uid="{00000000-0005-0000-0000-000060040000}"/>
    <cellStyle name="Euro 14" xfId="1142" xr:uid="{00000000-0005-0000-0000-000061040000}"/>
    <cellStyle name="Euro 14 2" xfId="1717" xr:uid="{00000000-0005-0000-0000-000062040000}"/>
    <cellStyle name="Euro 15" xfId="1143" xr:uid="{00000000-0005-0000-0000-000063040000}"/>
    <cellStyle name="Euro 15 2" xfId="1718" xr:uid="{00000000-0005-0000-0000-000064040000}"/>
    <cellStyle name="Euro 16" xfId="1144" xr:uid="{00000000-0005-0000-0000-000065040000}"/>
    <cellStyle name="Euro 16 2" xfId="1719" xr:uid="{00000000-0005-0000-0000-000066040000}"/>
    <cellStyle name="Euro 17" xfId="1145" xr:uid="{00000000-0005-0000-0000-000067040000}"/>
    <cellStyle name="Euro 17 2" xfId="1720" xr:uid="{00000000-0005-0000-0000-000068040000}"/>
    <cellStyle name="Euro 18" xfId="1146" xr:uid="{00000000-0005-0000-0000-000069040000}"/>
    <cellStyle name="Euro 18 2" xfId="1721" xr:uid="{00000000-0005-0000-0000-00006A040000}"/>
    <cellStyle name="Euro 19" xfId="1147" xr:uid="{00000000-0005-0000-0000-00006B040000}"/>
    <cellStyle name="Euro 19 2" xfId="1722" xr:uid="{00000000-0005-0000-0000-00006C040000}"/>
    <cellStyle name="Euro 2" xfId="1148" xr:uid="{00000000-0005-0000-0000-00006D040000}"/>
    <cellStyle name="Euro 2 2" xfId="1149" xr:uid="{00000000-0005-0000-0000-00006E040000}"/>
    <cellStyle name="Euro 2 3" xfId="1723" xr:uid="{00000000-0005-0000-0000-00006F040000}"/>
    <cellStyle name="Euro 20" xfId="1150" xr:uid="{00000000-0005-0000-0000-000070040000}"/>
    <cellStyle name="Euro 21" xfId="1151" xr:uid="{00000000-0005-0000-0000-000071040000}"/>
    <cellStyle name="Euro 22" xfId="1152" xr:uid="{00000000-0005-0000-0000-000072040000}"/>
    <cellStyle name="Euro 23" xfId="1153" xr:uid="{00000000-0005-0000-0000-000073040000}"/>
    <cellStyle name="Euro 24" xfId="1154" xr:uid="{00000000-0005-0000-0000-000074040000}"/>
    <cellStyle name="Euro 25" xfId="1155" xr:uid="{00000000-0005-0000-0000-000075040000}"/>
    <cellStyle name="Euro 26" xfId="1156" xr:uid="{00000000-0005-0000-0000-000076040000}"/>
    <cellStyle name="Euro 27" xfId="1157" xr:uid="{00000000-0005-0000-0000-000077040000}"/>
    <cellStyle name="Euro 28" xfId="1158" xr:uid="{00000000-0005-0000-0000-000078040000}"/>
    <cellStyle name="Euro 29" xfId="1159" xr:uid="{00000000-0005-0000-0000-000079040000}"/>
    <cellStyle name="Euro 3" xfId="1160" xr:uid="{00000000-0005-0000-0000-00007A040000}"/>
    <cellStyle name="Euro 3 2" xfId="1724" xr:uid="{00000000-0005-0000-0000-00007B040000}"/>
    <cellStyle name="Euro 30" xfId="1161" xr:uid="{00000000-0005-0000-0000-00007C040000}"/>
    <cellStyle name="Euro 31" xfId="1162" xr:uid="{00000000-0005-0000-0000-00007D040000}"/>
    <cellStyle name="Euro 4" xfId="1163" xr:uid="{00000000-0005-0000-0000-00007E040000}"/>
    <cellStyle name="Euro 4 2" xfId="1725" xr:uid="{00000000-0005-0000-0000-00007F040000}"/>
    <cellStyle name="Euro 5" xfId="1164" xr:uid="{00000000-0005-0000-0000-000080040000}"/>
    <cellStyle name="Euro 5 2" xfId="1726" xr:uid="{00000000-0005-0000-0000-000081040000}"/>
    <cellStyle name="Euro 6" xfId="1165" xr:uid="{00000000-0005-0000-0000-000082040000}"/>
    <cellStyle name="Euro 6 2" xfId="1727" xr:uid="{00000000-0005-0000-0000-000083040000}"/>
    <cellStyle name="Euro 7" xfId="1166" xr:uid="{00000000-0005-0000-0000-000084040000}"/>
    <cellStyle name="Euro 7 2" xfId="1728" xr:uid="{00000000-0005-0000-0000-000085040000}"/>
    <cellStyle name="Euro 8" xfId="1167" xr:uid="{00000000-0005-0000-0000-000086040000}"/>
    <cellStyle name="Euro 8 2" xfId="1729" xr:uid="{00000000-0005-0000-0000-000087040000}"/>
    <cellStyle name="Euro 9" xfId="1168" xr:uid="{00000000-0005-0000-0000-000088040000}"/>
    <cellStyle name="Euro 9 2" xfId="1730" xr:uid="{00000000-0005-0000-0000-000089040000}"/>
    <cellStyle name="form" xfId="1169" xr:uid="{00000000-0005-0000-0000-00008A040000}"/>
    <cellStyle name="Header1" xfId="1170" xr:uid="{00000000-0005-0000-0000-00008B040000}"/>
    <cellStyle name="Header1 2" xfId="1171" xr:uid="{00000000-0005-0000-0000-00008C040000}"/>
    <cellStyle name="Header2" xfId="1172" xr:uid="{00000000-0005-0000-0000-00008D040000}"/>
    <cellStyle name="Header2 2" xfId="1173" xr:uid="{00000000-0005-0000-0000-00008E040000}"/>
    <cellStyle name="Insatisfaisant 10" xfId="1174" xr:uid="{00000000-0005-0000-0000-00008F040000}"/>
    <cellStyle name="Insatisfaisant 10 2" xfId="1175" xr:uid="{00000000-0005-0000-0000-000090040000}"/>
    <cellStyle name="Insatisfaisant 11" xfId="1176" xr:uid="{00000000-0005-0000-0000-000091040000}"/>
    <cellStyle name="Insatisfaisant 11 2" xfId="1177" xr:uid="{00000000-0005-0000-0000-000092040000}"/>
    <cellStyle name="Insatisfaisant 12" xfId="1178" xr:uid="{00000000-0005-0000-0000-000093040000}"/>
    <cellStyle name="Insatisfaisant 12 2" xfId="1179" xr:uid="{00000000-0005-0000-0000-000094040000}"/>
    <cellStyle name="Insatisfaisant 13" xfId="1180" xr:uid="{00000000-0005-0000-0000-000095040000}"/>
    <cellStyle name="Insatisfaisant 13 2" xfId="1181" xr:uid="{00000000-0005-0000-0000-000096040000}"/>
    <cellStyle name="Insatisfaisant 14" xfId="1182" xr:uid="{00000000-0005-0000-0000-000097040000}"/>
    <cellStyle name="Insatisfaisant 14 2" xfId="1183" xr:uid="{00000000-0005-0000-0000-000098040000}"/>
    <cellStyle name="Insatisfaisant 15" xfId="1184" xr:uid="{00000000-0005-0000-0000-000099040000}"/>
    <cellStyle name="Insatisfaisant 15 2" xfId="1185" xr:uid="{00000000-0005-0000-0000-00009A040000}"/>
    <cellStyle name="Insatisfaisant 16" xfId="1186" xr:uid="{00000000-0005-0000-0000-00009B040000}"/>
    <cellStyle name="Insatisfaisant 16 2" xfId="1187" xr:uid="{00000000-0005-0000-0000-00009C040000}"/>
    <cellStyle name="Insatisfaisant 17" xfId="1188" xr:uid="{00000000-0005-0000-0000-00009D040000}"/>
    <cellStyle name="Insatisfaisant 17 2" xfId="1189" xr:uid="{00000000-0005-0000-0000-00009E040000}"/>
    <cellStyle name="Insatisfaisant 18" xfId="1190" xr:uid="{00000000-0005-0000-0000-00009F040000}"/>
    <cellStyle name="Insatisfaisant 18 2" xfId="1191" xr:uid="{00000000-0005-0000-0000-0000A0040000}"/>
    <cellStyle name="Insatisfaisant 19" xfId="1192" xr:uid="{00000000-0005-0000-0000-0000A1040000}"/>
    <cellStyle name="Insatisfaisant 19 2" xfId="1193" xr:uid="{00000000-0005-0000-0000-0000A2040000}"/>
    <cellStyle name="Insatisfaisant 2" xfId="1194" xr:uid="{00000000-0005-0000-0000-0000A3040000}"/>
    <cellStyle name="Insatisfaisant 2 2" xfId="1195" xr:uid="{00000000-0005-0000-0000-0000A4040000}"/>
    <cellStyle name="Insatisfaisant 3" xfId="1196" xr:uid="{00000000-0005-0000-0000-0000A5040000}"/>
    <cellStyle name="Insatisfaisant 3 2" xfId="1197" xr:uid="{00000000-0005-0000-0000-0000A6040000}"/>
    <cellStyle name="Insatisfaisant 4" xfId="1198" xr:uid="{00000000-0005-0000-0000-0000A7040000}"/>
    <cellStyle name="Insatisfaisant 4 2" xfId="1199" xr:uid="{00000000-0005-0000-0000-0000A8040000}"/>
    <cellStyle name="Insatisfaisant 5" xfId="1200" xr:uid="{00000000-0005-0000-0000-0000A9040000}"/>
    <cellStyle name="Insatisfaisant 5 2" xfId="1201" xr:uid="{00000000-0005-0000-0000-0000AA040000}"/>
    <cellStyle name="Insatisfaisant 6" xfId="1202" xr:uid="{00000000-0005-0000-0000-0000AB040000}"/>
    <cellStyle name="Insatisfaisant 6 2" xfId="1203" xr:uid="{00000000-0005-0000-0000-0000AC040000}"/>
    <cellStyle name="Insatisfaisant 7" xfId="1204" xr:uid="{00000000-0005-0000-0000-0000AD040000}"/>
    <cellStyle name="Insatisfaisant 7 2" xfId="1205" xr:uid="{00000000-0005-0000-0000-0000AE040000}"/>
    <cellStyle name="Insatisfaisant 8" xfId="1206" xr:uid="{00000000-0005-0000-0000-0000AF040000}"/>
    <cellStyle name="Insatisfaisant 8 2" xfId="1207" xr:uid="{00000000-0005-0000-0000-0000B0040000}"/>
    <cellStyle name="Insatisfaisant 9" xfId="1208" xr:uid="{00000000-0005-0000-0000-0000B1040000}"/>
    <cellStyle name="Insatisfaisant 9 2" xfId="1209" xr:uid="{00000000-0005-0000-0000-0000B2040000}"/>
    <cellStyle name="Link Currency (0)" xfId="1210" xr:uid="{00000000-0005-0000-0000-0000B3040000}"/>
    <cellStyle name="Link Currency (2)" xfId="1211" xr:uid="{00000000-0005-0000-0000-0000B4040000}"/>
    <cellStyle name="Link Units (0)" xfId="1212" xr:uid="{00000000-0005-0000-0000-0000B5040000}"/>
    <cellStyle name="Link Units (1)" xfId="1213" xr:uid="{00000000-0005-0000-0000-0000B6040000}"/>
    <cellStyle name="Link Units (2)" xfId="1214" xr:uid="{00000000-0005-0000-0000-0000B7040000}"/>
    <cellStyle name="Milliers" xfId="1" builtinId="3"/>
    <cellStyle name="Milliers 10" xfId="1215" xr:uid="{00000000-0005-0000-0000-0000B9040000}"/>
    <cellStyle name="Milliers 11" xfId="1216" xr:uid="{00000000-0005-0000-0000-0000BA040000}"/>
    <cellStyle name="Milliers 11 2" xfId="1731" xr:uid="{00000000-0005-0000-0000-0000BB040000}"/>
    <cellStyle name="Milliers 12" xfId="1217" xr:uid="{00000000-0005-0000-0000-0000BC040000}"/>
    <cellStyle name="Milliers 13" xfId="25" xr:uid="{00000000-0005-0000-0000-0000BD040000}"/>
    <cellStyle name="Milliers 13 2" xfId="1709" xr:uid="{00000000-0005-0000-0000-0000BE040000}"/>
    <cellStyle name="Milliers 14" xfId="1736" xr:uid="{00000000-0005-0000-0000-0000BF040000}"/>
    <cellStyle name="Milliers 15" xfId="1737" xr:uid="{00000000-0005-0000-0000-0000C0040000}"/>
    <cellStyle name="Milliers 16" xfId="24" xr:uid="{00000000-0005-0000-0000-0000C1040000}"/>
    <cellStyle name="Milliers 18" xfId="1745" xr:uid="{00000000-0005-0000-0000-0000C2040000}"/>
    <cellStyle name="Milliers 2" xfId="22" xr:uid="{00000000-0005-0000-0000-0000C3040000}"/>
    <cellStyle name="Milliers 2 2" xfId="1742" xr:uid="{00000000-0005-0000-0000-0000C4040000}"/>
    <cellStyle name="Milliers 2 3" xfId="1218" xr:uid="{00000000-0005-0000-0000-0000C5040000}"/>
    <cellStyle name="Milliers 20" xfId="1219" xr:uid="{00000000-0005-0000-0000-0000C6040000}"/>
    <cellStyle name="Milliers 3" xfId="12" xr:uid="{00000000-0005-0000-0000-0000C7040000}"/>
    <cellStyle name="Milliers 3 2" xfId="1712" xr:uid="{00000000-0005-0000-0000-0000C8040000}"/>
    <cellStyle name="Milliers 3 3" xfId="1740" xr:uid="{00000000-0005-0000-0000-0000C9040000}"/>
    <cellStyle name="Milliers 3 4" xfId="28" xr:uid="{00000000-0005-0000-0000-0000CA040000}"/>
    <cellStyle name="Milliers 4" xfId="23" xr:uid="{00000000-0005-0000-0000-0000CB040000}"/>
    <cellStyle name="Milliers 4 2" xfId="7" xr:uid="{00000000-0005-0000-0000-0000CC040000}"/>
    <cellStyle name="Milliers 4 2 2" xfId="1711" xr:uid="{00000000-0005-0000-0000-0000CD040000}"/>
    <cellStyle name="Milliers 4 2 3" xfId="1739" xr:uid="{00000000-0005-0000-0000-0000CE040000}"/>
    <cellStyle name="Milliers 4 2 4" xfId="27" xr:uid="{00000000-0005-0000-0000-0000CF040000}"/>
    <cellStyle name="Milliers 4 3" xfId="1732" xr:uid="{00000000-0005-0000-0000-0000D0040000}"/>
    <cellStyle name="Milliers 4 4" xfId="1743" xr:uid="{00000000-0005-0000-0000-0000D1040000}"/>
    <cellStyle name="Milliers 4 5" xfId="1220" xr:uid="{00000000-0005-0000-0000-0000D2040000}"/>
    <cellStyle name="Milliers 5" xfId="1221" xr:uid="{00000000-0005-0000-0000-0000D3040000}"/>
    <cellStyle name="Milliers 5 2" xfId="1733" xr:uid="{00000000-0005-0000-0000-0000D4040000}"/>
    <cellStyle name="Milliers 6" xfId="1222" xr:uid="{00000000-0005-0000-0000-0000D5040000}"/>
    <cellStyle name="Milliers 7" xfId="1223" xr:uid="{00000000-0005-0000-0000-0000D6040000}"/>
    <cellStyle name="Milliers 8" xfId="1224" xr:uid="{00000000-0005-0000-0000-0000D7040000}"/>
    <cellStyle name="Milliers 8 2" xfId="1734" xr:uid="{00000000-0005-0000-0000-0000D8040000}"/>
    <cellStyle name="Milliers 9" xfId="1225" xr:uid="{00000000-0005-0000-0000-0000D9040000}"/>
    <cellStyle name="Monétaire 2" xfId="1226" xr:uid="{00000000-0005-0000-0000-0000DA040000}"/>
    <cellStyle name="Monétaire 2 2" xfId="1735" xr:uid="{00000000-0005-0000-0000-0000DB040000}"/>
    <cellStyle name="Monétaire 3" xfId="26" xr:uid="{00000000-0005-0000-0000-0000DC040000}"/>
    <cellStyle name="Monétaire 3 2" xfId="1710" xr:uid="{00000000-0005-0000-0000-0000DD040000}"/>
    <cellStyle name="Monétaire 4" xfId="1738" xr:uid="{00000000-0005-0000-0000-0000DE040000}"/>
    <cellStyle name="Neutre 10" xfId="1227" xr:uid="{00000000-0005-0000-0000-0000DF040000}"/>
    <cellStyle name="Neutre 10 2" xfId="1228" xr:uid="{00000000-0005-0000-0000-0000E0040000}"/>
    <cellStyle name="Neutre 11" xfId="1229" xr:uid="{00000000-0005-0000-0000-0000E1040000}"/>
    <cellStyle name="Neutre 11 2" xfId="1230" xr:uid="{00000000-0005-0000-0000-0000E2040000}"/>
    <cellStyle name="Neutre 12" xfId="1231" xr:uid="{00000000-0005-0000-0000-0000E3040000}"/>
    <cellStyle name="Neutre 12 2" xfId="1232" xr:uid="{00000000-0005-0000-0000-0000E4040000}"/>
    <cellStyle name="Neutre 13" xfId="1233" xr:uid="{00000000-0005-0000-0000-0000E5040000}"/>
    <cellStyle name="Neutre 13 2" xfId="1234" xr:uid="{00000000-0005-0000-0000-0000E6040000}"/>
    <cellStyle name="Neutre 14" xfId="1235" xr:uid="{00000000-0005-0000-0000-0000E7040000}"/>
    <cellStyle name="Neutre 14 2" xfId="1236" xr:uid="{00000000-0005-0000-0000-0000E8040000}"/>
    <cellStyle name="Neutre 15" xfId="1237" xr:uid="{00000000-0005-0000-0000-0000E9040000}"/>
    <cellStyle name="Neutre 15 2" xfId="1238" xr:uid="{00000000-0005-0000-0000-0000EA040000}"/>
    <cellStyle name="Neutre 16" xfId="1239" xr:uid="{00000000-0005-0000-0000-0000EB040000}"/>
    <cellStyle name="Neutre 16 2" xfId="1240" xr:uid="{00000000-0005-0000-0000-0000EC040000}"/>
    <cellStyle name="Neutre 17" xfId="1241" xr:uid="{00000000-0005-0000-0000-0000ED040000}"/>
    <cellStyle name="Neutre 17 2" xfId="1242" xr:uid="{00000000-0005-0000-0000-0000EE040000}"/>
    <cellStyle name="Neutre 18" xfId="1243" xr:uid="{00000000-0005-0000-0000-0000EF040000}"/>
    <cellStyle name="Neutre 18 2" xfId="1244" xr:uid="{00000000-0005-0000-0000-0000F0040000}"/>
    <cellStyle name="Neutre 19" xfId="1245" xr:uid="{00000000-0005-0000-0000-0000F1040000}"/>
    <cellStyle name="Neutre 19 2" xfId="1246" xr:uid="{00000000-0005-0000-0000-0000F2040000}"/>
    <cellStyle name="Neutre 2" xfId="1247" xr:uid="{00000000-0005-0000-0000-0000F3040000}"/>
    <cellStyle name="Neutre 2 2" xfId="1248" xr:uid="{00000000-0005-0000-0000-0000F4040000}"/>
    <cellStyle name="Neutre 3" xfId="1249" xr:uid="{00000000-0005-0000-0000-0000F5040000}"/>
    <cellStyle name="Neutre 3 2" xfId="1250" xr:uid="{00000000-0005-0000-0000-0000F6040000}"/>
    <cellStyle name="Neutre 4" xfId="1251" xr:uid="{00000000-0005-0000-0000-0000F7040000}"/>
    <cellStyle name="Neutre 4 2" xfId="1252" xr:uid="{00000000-0005-0000-0000-0000F8040000}"/>
    <cellStyle name="Neutre 5" xfId="1253" xr:uid="{00000000-0005-0000-0000-0000F9040000}"/>
    <cellStyle name="Neutre 5 2" xfId="1254" xr:uid="{00000000-0005-0000-0000-0000FA040000}"/>
    <cellStyle name="Neutre 6" xfId="1255" xr:uid="{00000000-0005-0000-0000-0000FB040000}"/>
    <cellStyle name="Neutre 6 2" xfId="1256" xr:uid="{00000000-0005-0000-0000-0000FC040000}"/>
    <cellStyle name="Neutre 7" xfId="1257" xr:uid="{00000000-0005-0000-0000-0000FD040000}"/>
    <cellStyle name="Neutre 7 2" xfId="1258" xr:uid="{00000000-0005-0000-0000-0000FE040000}"/>
    <cellStyle name="Neutre 8" xfId="1259" xr:uid="{00000000-0005-0000-0000-0000FF040000}"/>
    <cellStyle name="Neutre 8 2" xfId="1260" xr:uid="{00000000-0005-0000-0000-000000050000}"/>
    <cellStyle name="Neutre 9" xfId="1261" xr:uid="{00000000-0005-0000-0000-000001050000}"/>
    <cellStyle name="Neutre 9 2" xfId="1262" xr:uid="{00000000-0005-0000-0000-000002050000}"/>
    <cellStyle name="Normal" xfId="0" builtinId="0"/>
    <cellStyle name="Normal - Style1" xfId="1263" xr:uid="{00000000-0005-0000-0000-000004050000}"/>
    <cellStyle name="Normal 10" xfId="6" xr:uid="{00000000-0005-0000-0000-000005050000}"/>
    <cellStyle name="Normal 10 2" xfId="1264" xr:uid="{00000000-0005-0000-0000-000006050000}"/>
    <cellStyle name="Normal 10 2 2" xfId="21" xr:uid="{00000000-0005-0000-0000-000007050000}"/>
    <cellStyle name="Normal 10 3" xfId="1265" xr:uid="{00000000-0005-0000-0000-000008050000}"/>
    <cellStyle name="Normal 100" xfId="14" xr:uid="{00000000-0005-0000-0000-000009050000}"/>
    <cellStyle name="Normal 11" xfId="1266" xr:uid="{00000000-0005-0000-0000-00000A050000}"/>
    <cellStyle name="Normal 11 2" xfId="1267" xr:uid="{00000000-0005-0000-0000-00000B050000}"/>
    <cellStyle name="Normal 12" xfId="1268" xr:uid="{00000000-0005-0000-0000-00000C050000}"/>
    <cellStyle name="Normal 13" xfId="1269" xr:uid="{00000000-0005-0000-0000-00000D050000}"/>
    <cellStyle name="Normal 14" xfId="1270" xr:uid="{00000000-0005-0000-0000-00000E050000}"/>
    <cellStyle name="Normal 15" xfId="1271" xr:uid="{00000000-0005-0000-0000-00000F050000}"/>
    <cellStyle name="Normal 16" xfId="1272" xr:uid="{00000000-0005-0000-0000-000010050000}"/>
    <cellStyle name="Normal 17" xfId="1273" xr:uid="{00000000-0005-0000-0000-000011050000}"/>
    <cellStyle name="Normal 18" xfId="1274" xr:uid="{00000000-0005-0000-0000-000012050000}"/>
    <cellStyle name="Normal 19" xfId="1275" xr:uid="{00000000-0005-0000-0000-000013050000}"/>
    <cellStyle name="Normal 2" xfId="20" xr:uid="{00000000-0005-0000-0000-000014050000}"/>
    <cellStyle name="Normal 2 2" xfId="18" xr:uid="{00000000-0005-0000-0000-000015050000}"/>
    <cellStyle name="Normal 2 3" xfId="1741" xr:uid="{00000000-0005-0000-0000-000016050000}"/>
    <cellStyle name="Normal 2_HEBDO 28 Juin 2010 " xfId="1276" xr:uid="{00000000-0005-0000-0000-000017050000}"/>
    <cellStyle name="Normal 20" xfId="1277" xr:uid="{00000000-0005-0000-0000-000018050000}"/>
    <cellStyle name="Normal 21" xfId="1278" xr:uid="{00000000-0005-0000-0000-000019050000}"/>
    <cellStyle name="Normal 22" xfId="3" xr:uid="{00000000-0005-0000-0000-00001A050000}"/>
    <cellStyle name="Normal 23" xfId="1279" xr:uid="{00000000-0005-0000-0000-00001B050000}"/>
    <cellStyle name="Normal 24" xfId="1280" xr:uid="{00000000-0005-0000-0000-00001C050000}"/>
    <cellStyle name="Normal 25" xfId="1281" xr:uid="{00000000-0005-0000-0000-00001D050000}"/>
    <cellStyle name="Normal 26" xfId="1282" xr:uid="{00000000-0005-0000-0000-00001E050000}"/>
    <cellStyle name="Normal 27" xfId="1283" xr:uid="{00000000-0005-0000-0000-00001F050000}"/>
    <cellStyle name="Normal 28" xfId="1284" xr:uid="{00000000-0005-0000-0000-000020050000}"/>
    <cellStyle name="Normal 29" xfId="1285" xr:uid="{00000000-0005-0000-0000-000021050000}"/>
    <cellStyle name="Normal 3" xfId="13" xr:uid="{00000000-0005-0000-0000-000022050000}"/>
    <cellStyle name="Normal 30" xfId="1286" xr:uid="{00000000-0005-0000-0000-000023050000}"/>
    <cellStyle name="Normal 31" xfId="1287" xr:uid="{00000000-0005-0000-0000-000024050000}"/>
    <cellStyle name="Normal 32" xfId="1288" xr:uid="{00000000-0005-0000-0000-000025050000}"/>
    <cellStyle name="Normal 33" xfId="1289" xr:uid="{00000000-0005-0000-0000-000026050000}"/>
    <cellStyle name="Normal 34" xfId="1290" xr:uid="{00000000-0005-0000-0000-000027050000}"/>
    <cellStyle name="Normal 35" xfId="1291" xr:uid="{00000000-0005-0000-0000-000028050000}"/>
    <cellStyle name="Normal 36" xfId="1292" xr:uid="{00000000-0005-0000-0000-000029050000}"/>
    <cellStyle name="Normal 37" xfId="1293" xr:uid="{00000000-0005-0000-0000-00002A050000}"/>
    <cellStyle name="Normal 38" xfId="1294" xr:uid="{00000000-0005-0000-0000-00002B050000}"/>
    <cellStyle name="Normal 39" xfId="1295" xr:uid="{00000000-0005-0000-0000-00002C050000}"/>
    <cellStyle name="Normal 4" xfId="1296" xr:uid="{00000000-0005-0000-0000-00002D050000}"/>
    <cellStyle name="Normal 40" xfId="1297" xr:uid="{00000000-0005-0000-0000-00002E050000}"/>
    <cellStyle name="Normal 41" xfId="1298" xr:uid="{00000000-0005-0000-0000-00002F050000}"/>
    <cellStyle name="Normal 42" xfId="1299" xr:uid="{00000000-0005-0000-0000-000030050000}"/>
    <cellStyle name="Normal 43" xfId="1300" xr:uid="{00000000-0005-0000-0000-000031050000}"/>
    <cellStyle name="Normal 44" xfId="1301" xr:uid="{00000000-0005-0000-0000-000032050000}"/>
    <cellStyle name="Normal 45" xfId="1302" xr:uid="{00000000-0005-0000-0000-000033050000}"/>
    <cellStyle name="Normal 45 2" xfId="15" xr:uid="{00000000-0005-0000-0000-000034050000}"/>
    <cellStyle name="Normal 46" xfId="1303" xr:uid="{00000000-0005-0000-0000-000035050000}"/>
    <cellStyle name="Normal 47" xfId="1304" xr:uid="{00000000-0005-0000-0000-000036050000}"/>
    <cellStyle name="Normal 48" xfId="1305" xr:uid="{00000000-0005-0000-0000-000037050000}"/>
    <cellStyle name="Normal 49" xfId="1306" xr:uid="{00000000-0005-0000-0000-000038050000}"/>
    <cellStyle name="Normal 5" xfId="1307" xr:uid="{00000000-0005-0000-0000-000039050000}"/>
    <cellStyle name="Normal 50" xfId="1308" xr:uid="{00000000-0005-0000-0000-00003A050000}"/>
    <cellStyle name="Normal 51" xfId="1309" xr:uid="{00000000-0005-0000-0000-00003B050000}"/>
    <cellStyle name="Normal 52" xfId="1310" xr:uid="{00000000-0005-0000-0000-00003C050000}"/>
    <cellStyle name="Normal 53" xfId="1311" xr:uid="{00000000-0005-0000-0000-00003D050000}"/>
    <cellStyle name="Normal 54" xfId="1312" xr:uid="{00000000-0005-0000-0000-00003E050000}"/>
    <cellStyle name="Normal 55" xfId="1313" xr:uid="{00000000-0005-0000-0000-00003F050000}"/>
    <cellStyle name="Normal 56" xfId="1314" xr:uid="{00000000-0005-0000-0000-000040050000}"/>
    <cellStyle name="Normal 6" xfId="1315" xr:uid="{00000000-0005-0000-0000-000041050000}"/>
    <cellStyle name="Normal 7" xfId="1316" xr:uid="{00000000-0005-0000-0000-000042050000}"/>
    <cellStyle name="Normal 8" xfId="1317" xr:uid="{00000000-0005-0000-0000-000043050000}"/>
    <cellStyle name="Normal 84" xfId="1744" xr:uid="{00000000-0005-0000-0000-000044050000}"/>
    <cellStyle name="Normal 9" xfId="1318" xr:uid="{00000000-0005-0000-0000-000045050000}"/>
    <cellStyle name="Normal_stat Mars 2006 2" xfId="10" xr:uid="{00000000-0005-0000-0000-000046050000}"/>
    <cellStyle name="Percent [0]" xfId="1319" xr:uid="{00000000-0005-0000-0000-000047050000}"/>
    <cellStyle name="Percent [00]" xfId="1320" xr:uid="{00000000-0005-0000-0000-000048050000}"/>
    <cellStyle name="Pourcentage" xfId="2" builtinId="5"/>
    <cellStyle name="Pourcentage 10" xfId="1321" xr:uid="{00000000-0005-0000-0000-00004A050000}"/>
    <cellStyle name="Pourcentage 11" xfId="1322" xr:uid="{00000000-0005-0000-0000-00004B050000}"/>
    <cellStyle name="Pourcentage 11 2" xfId="1323" xr:uid="{00000000-0005-0000-0000-00004C050000}"/>
    <cellStyle name="Pourcentage 12" xfId="1324" xr:uid="{00000000-0005-0000-0000-00004D050000}"/>
    <cellStyle name="Pourcentage 13" xfId="1325" xr:uid="{00000000-0005-0000-0000-00004E050000}"/>
    <cellStyle name="Pourcentage 14" xfId="1326" xr:uid="{00000000-0005-0000-0000-00004F050000}"/>
    <cellStyle name="Pourcentage 15" xfId="1327" xr:uid="{00000000-0005-0000-0000-000050050000}"/>
    <cellStyle name="Pourcentage 16" xfId="1328" xr:uid="{00000000-0005-0000-0000-000051050000}"/>
    <cellStyle name="Pourcentage 2" xfId="9" xr:uid="{00000000-0005-0000-0000-000052050000}"/>
    <cellStyle name="Pourcentage 2 2" xfId="1329" xr:uid="{00000000-0005-0000-0000-000053050000}"/>
    <cellStyle name="Pourcentage 2 3" xfId="1330" xr:uid="{00000000-0005-0000-0000-000054050000}"/>
    <cellStyle name="Pourcentage 2 4" xfId="1331" xr:uid="{00000000-0005-0000-0000-000055050000}"/>
    <cellStyle name="Pourcentage 3" xfId="4" xr:uid="{00000000-0005-0000-0000-000056050000}"/>
    <cellStyle name="Pourcentage 3 2" xfId="1332" xr:uid="{00000000-0005-0000-0000-000057050000}"/>
    <cellStyle name="Pourcentage 4" xfId="1333" xr:uid="{00000000-0005-0000-0000-000058050000}"/>
    <cellStyle name="Pourcentage 4 2" xfId="8" xr:uid="{00000000-0005-0000-0000-000059050000}"/>
    <cellStyle name="Pourcentage 5" xfId="1334" xr:uid="{00000000-0005-0000-0000-00005A050000}"/>
    <cellStyle name="Pourcentage 6" xfId="1335" xr:uid="{00000000-0005-0000-0000-00005B050000}"/>
    <cellStyle name="Pourcentage 6 2 2 2" xfId="16" xr:uid="{00000000-0005-0000-0000-00005C050000}"/>
    <cellStyle name="Pourcentage 7" xfId="1336" xr:uid="{00000000-0005-0000-0000-00005D050000}"/>
    <cellStyle name="Pourcentage 8" xfId="1337" xr:uid="{00000000-0005-0000-0000-00005E050000}"/>
    <cellStyle name="Pourcentage 9" xfId="1338" xr:uid="{00000000-0005-0000-0000-00005F050000}"/>
    <cellStyle name="PrePop Currency (0)" xfId="1339" xr:uid="{00000000-0005-0000-0000-000060050000}"/>
    <cellStyle name="PrePop Currency (2)" xfId="1340" xr:uid="{00000000-0005-0000-0000-000061050000}"/>
    <cellStyle name="PrePop Units (0)" xfId="1341" xr:uid="{00000000-0005-0000-0000-000062050000}"/>
    <cellStyle name="PrePop Units (1)" xfId="1342" xr:uid="{00000000-0005-0000-0000-000063050000}"/>
    <cellStyle name="PrePop Units (2)" xfId="1343" xr:uid="{00000000-0005-0000-0000-000064050000}"/>
    <cellStyle name="Satisfaisant 10" xfId="1344" xr:uid="{00000000-0005-0000-0000-000065050000}"/>
    <cellStyle name="Satisfaisant 10 2" xfId="1345" xr:uid="{00000000-0005-0000-0000-000066050000}"/>
    <cellStyle name="Satisfaisant 11" xfId="1346" xr:uid="{00000000-0005-0000-0000-000067050000}"/>
    <cellStyle name="Satisfaisant 11 2" xfId="1347" xr:uid="{00000000-0005-0000-0000-000068050000}"/>
    <cellStyle name="Satisfaisant 12" xfId="1348" xr:uid="{00000000-0005-0000-0000-000069050000}"/>
    <cellStyle name="Satisfaisant 12 2" xfId="1349" xr:uid="{00000000-0005-0000-0000-00006A050000}"/>
    <cellStyle name="Satisfaisant 13" xfId="1350" xr:uid="{00000000-0005-0000-0000-00006B050000}"/>
    <cellStyle name="Satisfaisant 13 2" xfId="1351" xr:uid="{00000000-0005-0000-0000-00006C050000}"/>
    <cellStyle name="Satisfaisant 14" xfId="1352" xr:uid="{00000000-0005-0000-0000-00006D050000}"/>
    <cellStyle name="Satisfaisant 14 2" xfId="1353" xr:uid="{00000000-0005-0000-0000-00006E050000}"/>
    <cellStyle name="Satisfaisant 15" xfId="1354" xr:uid="{00000000-0005-0000-0000-00006F050000}"/>
    <cellStyle name="Satisfaisant 15 2" xfId="1355" xr:uid="{00000000-0005-0000-0000-000070050000}"/>
    <cellStyle name="Satisfaisant 16" xfId="1356" xr:uid="{00000000-0005-0000-0000-000071050000}"/>
    <cellStyle name="Satisfaisant 16 2" xfId="1357" xr:uid="{00000000-0005-0000-0000-000072050000}"/>
    <cellStyle name="Satisfaisant 17" xfId="1358" xr:uid="{00000000-0005-0000-0000-000073050000}"/>
    <cellStyle name="Satisfaisant 17 2" xfId="1359" xr:uid="{00000000-0005-0000-0000-000074050000}"/>
    <cellStyle name="Satisfaisant 18" xfId="1360" xr:uid="{00000000-0005-0000-0000-000075050000}"/>
    <cellStyle name="Satisfaisant 18 2" xfId="1361" xr:uid="{00000000-0005-0000-0000-000076050000}"/>
    <cellStyle name="Satisfaisant 19" xfId="1362" xr:uid="{00000000-0005-0000-0000-000077050000}"/>
    <cellStyle name="Satisfaisant 19 2" xfId="1363" xr:uid="{00000000-0005-0000-0000-000078050000}"/>
    <cellStyle name="Satisfaisant 2" xfId="1364" xr:uid="{00000000-0005-0000-0000-000079050000}"/>
    <cellStyle name="Satisfaisant 2 2" xfId="1365" xr:uid="{00000000-0005-0000-0000-00007A050000}"/>
    <cellStyle name="Satisfaisant 3" xfId="1366" xr:uid="{00000000-0005-0000-0000-00007B050000}"/>
    <cellStyle name="Satisfaisant 3 2" xfId="1367" xr:uid="{00000000-0005-0000-0000-00007C050000}"/>
    <cellStyle name="Satisfaisant 4" xfId="1368" xr:uid="{00000000-0005-0000-0000-00007D050000}"/>
    <cellStyle name="Satisfaisant 4 2" xfId="1369" xr:uid="{00000000-0005-0000-0000-00007E050000}"/>
    <cellStyle name="Satisfaisant 5" xfId="1370" xr:uid="{00000000-0005-0000-0000-00007F050000}"/>
    <cellStyle name="Satisfaisant 5 2" xfId="1371" xr:uid="{00000000-0005-0000-0000-000080050000}"/>
    <cellStyle name="Satisfaisant 6" xfId="1372" xr:uid="{00000000-0005-0000-0000-000081050000}"/>
    <cellStyle name="Satisfaisant 6 2" xfId="1373" xr:uid="{00000000-0005-0000-0000-000082050000}"/>
    <cellStyle name="Satisfaisant 7" xfId="1374" xr:uid="{00000000-0005-0000-0000-000083050000}"/>
    <cellStyle name="Satisfaisant 7 2" xfId="1375" xr:uid="{00000000-0005-0000-0000-000084050000}"/>
    <cellStyle name="Satisfaisant 8" xfId="1376" xr:uid="{00000000-0005-0000-0000-000085050000}"/>
    <cellStyle name="Satisfaisant 8 2" xfId="1377" xr:uid="{00000000-0005-0000-0000-000086050000}"/>
    <cellStyle name="Satisfaisant 9" xfId="1378" xr:uid="{00000000-0005-0000-0000-000087050000}"/>
    <cellStyle name="Satisfaisant 9 2" xfId="1379" xr:uid="{00000000-0005-0000-0000-000088050000}"/>
    <cellStyle name="Shell" xfId="1380" xr:uid="{00000000-0005-0000-0000-000089050000}"/>
    <cellStyle name="Short $" xfId="1381" xr:uid="{00000000-0005-0000-0000-00008A050000}"/>
    <cellStyle name="Sortie 10" xfId="1382" xr:uid="{00000000-0005-0000-0000-00008B050000}"/>
    <cellStyle name="Sortie 10 2" xfId="1383" xr:uid="{00000000-0005-0000-0000-00008C050000}"/>
    <cellStyle name="Sortie 11" xfId="1384" xr:uid="{00000000-0005-0000-0000-00008D050000}"/>
    <cellStyle name="Sortie 11 2" xfId="1385" xr:uid="{00000000-0005-0000-0000-00008E050000}"/>
    <cellStyle name="Sortie 12" xfId="1386" xr:uid="{00000000-0005-0000-0000-00008F050000}"/>
    <cellStyle name="Sortie 12 2" xfId="1387" xr:uid="{00000000-0005-0000-0000-000090050000}"/>
    <cellStyle name="Sortie 13" xfId="1388" xr:uid="{00000000-0005-0000-0000-000091050000}"/>
    <cellStyle name="Sortie 13 2" xfId="1389" xr:uid="{00000000-0005-0000-0000-000092050000}"/>
    <cellStyle name="Sortie 14" xfId="1390" xr:uid="{00000000-0005-0000-0000-000093050000}"/>
    <cellStyle name="Sortie 14 2" xfId="1391" xr:uid="{00000000-0005-0000-0000-000094050000}"/>
    <cellStyle name="Sortie 15" xfId="1392" xr:uid="{00000000-0005-0000-0000-000095050000}"/>
    <cellStyle name="Sortie 15 2" xfId="1393" xr:uid="{00000000-0005-0000-0000-000096050000}"/>
    <cellStyle name="Sortie 16" xfId="1394" xr:uid="{00000000-0005-0000-0000-000097050000}"/>
    <cellStyle name="Sortie 16 2" xfId="1395" xr:uid="{00000000-0005-0000-0000-000098050000}"/>
    <cellStyle name="Sortie 17" xfId="1396" xr:uid="{00000000-0005-0000-0000-000099050000}"/>
    <cellStyle name="Sortie 17 2" xfId="1397" xr:uid="{00000000-0005-0000-0000-00009A050000}"/>
    <cellStyle name="Sortie 18" xfId="1398" xr:uid="{00000000-0005-0000-0000-00009B050000}"/>
    <cellStyle name="Sortie 18 2" xfId="1399" xr:uid="{00000000-0005-0000-0000-00009C050000}"/>
    <cellStyle name="Sortie 19" xfId="1400" xr:uid="{00000000-0005-0000-0000-00009D050000}"/>
    <cellStyle name="Sortie 19 2" xfId="1401" xr:uid="{00000000-0005-0000-0000-00009E050000}"/>
    <cellStyle name="Sortie 2" xfId="1402" xr:uid="{00000000-0005-0000-0000-00009F050000}"/>
    <cellStyle name="Sortie 2 2" xfId="1403" xr:uid="{00000000-0005-0000-0000-0000A0050000}"/>
    <cellStyle name="Sortie 3" xfId="1404" xr:uid="{00000000-0005-0000-0000-0000A1050000}"/>
    <cellStyle name="Sortie 3 2" xfId="1405" xr:uid="{00000000-0005-0000-0000-0000A2050000}"/>
    <cellStyle name="Sortie 4" xfId="1406" xr:uid="{00000000-0005-0000-0000-0000A3050000}"/>
    <cellStyle name="Sortie 4 2" xfId="1407" xr:uid="{00000000-0005-0000-0000-0000A4050000}"/>
    <cellStyle name="Sortie 5" xfId="1408" xr:uid="{00000000-0005-0000-0000-0000A5050000}"/>
    <cellStyle name="Sortie 5 2" xfId="1409" xr:uid="{00000000-0005-0000-0000-0000A6050000}"/>
    <cellStyle name="Sortie 6" xfId="1410" xr:uid="{00000000-0005-0000-0000-0000A7050000}"/>
    <cellStyle name="Sortie 6 2" xfId="1411" xr:uid="{00000000-0005-0000-0000-0000A8050000}"/>
    <cellStyle name="Sortie 7" xfId="1412" xr:uid="{00000000-0005-0000-0000-0000A9050000}"/>
    <cellStyle name="Sortie 7 2" xfId="1413" xr:uid="{00000000-0005-0000-0000-0000AA050000}"/>
    <cellStyle name="Sortie 8" xfId="1414" xr:uid="{00000000-0005-0000-0000-0000AB050000}"/>
    <cellStyle name="Sortie 8 2" xfId="1415" xr:uid="{00000000-0005-0000-0000-0000AC050000}"/>
    <cellStyle name="Sortie 9" xfId="1416" xr:uid="{00000000-0005-0000-0000-0000AD050000}"/>
    <cellStyle name="Sortie 9 2" xfId="1417" xr:uid="{00000000-0005-0000-0000-0000AE050000}"/>
    <cellStyle name="Text Indent A" xfId="1418" xr:uid="{00000000-0005-0000-0000-0000AF050000}"/>
    <cellStyle name="Text Indent B" xfId="1419" xr:uid="{00000000-0005-0000-0000-0000B0050000}"/>
    <cellStyle name="Text Indent C" xfId="1420" xr:uid="{00000000-0005-0000-0000-0000B1050000}"/>
    <cellStyle name="Texte explicatif 10" xfId="1421" xr:uid="{00000000-0005-0000-0000-0000B2050000}"/>
    <cellStyle name="Texte explicatif 10 2" xfId="1422" xr:uid="{00000000-0005-0000-0000-0000B3050000}"/>
    <cellStyle name="Texte explicatif 11" xfId="1423" xr:uid="{00000000-0005-0000-0000-0000B4050000}"/>
    <cellStyle name="Texte explicatif 11 2" xfId="1424" xr:uid="{00000000-0005-0000-0000-0000B5050000}"/>
    <cellStyle name="Texte explicatif 12" xfId="1425" xr:uid="{00000000-0005-0000-0000-0000B6050000}"/>
    <cellStyle name="Texte explicatif 12 2" xfId="1426" xr:uid="{00000000-0005-0000-0000-0000B7050000}"/>
    <cellStyle name="Texte explicatif 13" xfId="1427" xr:uid="{00000000-0005-0000-0000-0000B8050000}"/>
    <cellStyle name="Texte explicatif 13 2" xfId="1428" xr:uid="{00000000-0005-0000-0000-0000B9050000}"/>
    <cellStyle name="Texte explicatif 14" xfId="1429" xr:uid="{00000000-0005-0000-0000-0000BA050000}"/>
    <cellStyle name="Texte explicatif 14 2" xfId="1430" xr:uid="{00000000-0005-0000-0000-0000BB050000}"/>
    <cellStyle name="Texte explicatif 15" xfId="1431" xr:uid="{00000000-0005-0000-0000-0000BC050000}"/>
    <cellStyle name="Texte explicatif 15 2" xfId="1432" xr:uid="{00000000-0005-0000-0000-0000BD050000}"/>
    <cellStyle name="Texte explicatif 16" xfId="1433" xr:uid="{00000000-0005-0000-0000-0000BE050000}"/>
    <cellStyle name="Texte explicatif 16 2" xfId="1434" xr:uid="{00000000-0005-0000-0000-0000BF050000}"/>
    <cellStyle name="Texte explicatif 17" xfId="1435" xr:uid="{00000000-0005-0000-0000-0000C0050000}"/>
    <cellStyle name="Texte explicatif 17 2" xfId="1436" xr:uid="{00000000-0005-0000-0000-0000C1050000}"/>
    <cellStyle name="Texte explicatif 18" xfId="1437" xr:uid="{00000000-0005-0000-0000-0000C2050000}"/>
    <cellStyle name="Texte explicatif 18 2" xfId="1438" xr:uid="{00000000-0005-0000-0000-0000C3050000}"/>
    <cellStyle name="Texte explicatif 19" xfId="1439" xr:uid="{00000000-0005-0000-0000-0000C4050000}"/>
    <cellStyle name="Texte explicatif 19 2" xfId="1440" xr:uid="{00000000-0005-0000-0000-0000C5050000}"/>
    <cellStyle name="Texte explicatif 2" xfId="1441" xr:uid="{00000000-0005-0000-0000-0000C6050000}"/>
    <cellStyle name="Texte explicatif 2 2" xfId="1442" xr:uid="{00000000-0005-0000-0000-0000C7050000}"/>
    <cellStyle name="Texte explicatif 3" xfId="1443" xr:uid="{00000000-0005-0000-0000-0000C8050000}"/>
    <cellStyle name="Texte explicatif 3 2" xfId="1444" xr:uid="{00000000-0005-0000-0000-0000C9050000}"/>
    <cellStyle name="Texte explicatif 4" xfId="1445" xr:uid="{00000000-0005-0000-0000-0000CA050000}"/>
    <cellStyle name="Texte explicatif 4 2" xfId="1446" xr:uid="{00000000-0005-0000-0000-0000CB050000}"/>
    <cellStyle name="Texte explicatif 5" xfId="1447" xr:uid="{00000000-0005-0000-0000-0000CC050000}"/>
    <cellStyle name="Texte explicatif 5 2" xfId="1448" xr:uid="{00000000-0005-0000-0000-0000CD050000}"/>
    <cellStyle name="Texte explicatif 6" xfId="1449" xr:uid="{00000000-0005-0000-0000-0000CE050000}"/>
    <cellStyle name="Texte explicatif 6 2" xfId="1450" xr:uid="{00000000-0005-0000-0000-0000CF050000}"/>
    <cellStyle name="Texte explicatif 7" xfId="1451" xr:uid="{00000000-0005-0000-0000-0000D0050000}"/>
    <cellStyle name="Texte explicatif 7 2" xfId="1452" xr:uid="{00000000-0005-0000-0000-0000D1050000}"/>
    <cellStyle name="Texte explicatif 8" xfId="1453" xr:uid="{00000000-0005-0000-0000-0000D2050000}"/>
    <cellStyle name="Texte explicatif 8 2" xfId="1454" xr:uid="{00000000-0005-0000-0000-0000D3050000}"/>
    <cellStyle name="Texte explicatif 9" xfId="1455" xr:uid="{00000000-0005-0000-0000-0000D4050000}"/>
    <cellStyle name="Texte explicatif 9 2" xfId="1456" xr:uid="{00000000-0005-0000-0000-0000D5050000}"/>
    <cellStyle name="Titre 10" xfId="1457" xr:uid="{00000000-0005-0000-0000-0000D6050000}"/>
    <cellStyle name="Titre 10 2" xfId="1458" xr:uid="{00000000-0005-0000-0000-0000D7050000}"/>
    <cellStyle name="Titre 11" xfId="1459" xr:uid="{00000000-0005-0000-0000-0000D8050000}"/>
    <cellStyle name="Titre 11 2" xfId="1460" xr:uid="{00000000-0005-0000-0000-0000D9050000}"/>
    <cellStyle name="Titre 12" xfId="1461" xr:uid="{00000000-0005-0000-0000-0000DA050000}"/>
    <cellStyle name="Titre 12 2" xfId="1462" xr:uid="{00000000-0005-0000-0000-0000DB050000}"/>
    <cellStyle name="Titre 13" xfId="1463" xr:uid="{00000000-0005-0000-0000-0000DC050000}"/>
    <cellStyle name="Titre 13 2" xfId="1464" xr:uid="{00000000-0005-0000-0000-0000DD050000}"/>
    <cellStyle name="Titre 14" xfId="1465" xr:uid="{00000000-0005-0000-0000-0000DE050000}"/>
    <cellStyle name="Titre 14 2" xfId="1466" xr:uid="{00000000-0005-0000-0000-0000DF050000}"/>
    <cellStyle name="Titre 15" xfId="1467" xr:uid="{00000000-0005-0000-0000-0000E0050000}"/>
    <cellStyle name="Titre 15 2" xfId="1468" xr:uid="{00000000-0005-0000-0000-0000E1050000}"/>
    <cellStyle name="Titre 16" xfId="1469" xr:uid="{00000000-0005-0000-0000-0000E2050000}"/>
    <cellStyle name="Titre 16 2" xfId="1470" xr:uid="{00000000-0005-0000-0000-0000E3050000}"/>
    <cellStyle name="Titre 17" xfId="1471" xr:uid="{00000000-0005-0000-0000-0000E4050000}"/>
    <cellStyle name="Titre 17 2" xfId="1472" xr:uid="{00000000-0005-0000-0000-0000E5050000}"/>
    <cellStyle name="Titre 18" xfId="1473" xr:uid="{00000000-0005-0000-0000-0000E6050000}"/>
    <cellStyle name="Titre 18 2" xfId="1474" xr:uid="{00000000-0005-0000-0000-0000E7050000}"/>
    <cellStyle name="Titre 19" xfId="1475" xr:uid="{00000000-0005-0000-0000-0000E8050000}"/>
    <cellStyle name="Titre 19 2" xfId="1476" xr:uid="{00000000-0005-0000-0000-0000E9050000}"/>
    <cellStyle name="Titre 2" xfId="1477" xr:uid="{00000000-0005-0000-0000-0000EA050000}"/>
    <cellStyle name="Titre 2 2" xfId="1478" xr:uid="{00000000-0005-0000-0000-0000EB050000}"/>
    <cellStyle name="Titre 3" xfId="1479" xr:uid="{00000000-0005-0000-0000-0000EC050000}"/>
    <cellStyle name="Titre 3 2" xfId="1480" xr:uid="{00000000-0005-0000-0000-0000ED050000}"/>
    <cellStyle name="Titre 4" xfId="1481" xr:uid="{00000000-0005-0000-0000-0000EE050000}"/>
    <cellStyle name="Titre 4 2" xfId="1482" xr:uid="{00000000-0005-0000-0000-0000EF050000}"/>
    <cellStyle name="Titre 5" xfId="1483" xr:uid="{00000000-0005-0000-0000-0000F0050000}"/>
    <cellStyle name="Titre 5 2" xfId="1484" xr:uid="{00000000-0005-0000-0000-0000F1050000}"/>
    <cellStyle name="Titre 6" xfId="1485" xr:uid="{00000000-0005-0000-0000-0000F2050000}"/>
    <cellStyle name="Titre 6 2" xfId="1486" xr:uid="{00000000-0005-0000-0000-0000F3050000}"/>
    <cellStyle name="Titre 7" xfId="1487" xr:uid="{00000000-0005-0000-0000-0000F4050000}"/>
    <cellStyle name="Titre 7 2" xfId="1488" xr:uid="{00000000-0005-0000-0000-0000F5050000}"/>
    <cellStyle name="Titre 8" xfId="1489" xr:uid="{00000000-0005-0000-0000-0000F6050000}"/>
    <cellStyle name="Titre 8 2" xfId="1490" xr:uid="{00000000-0005-0000-0000-0000F7050000}"/>
    <cellStyle name="Titre 9" xfId="1491" xr:uid="{00000000-0005-0000-0000-0000F8050000}"/>
    <cellStyle name="Titre 9 2" xfId="1492" xr:uid="{00000000-0005-0000-0000-0000F9050000}"/>
    <cellStyle name="Titre 1 10" xfId="1493" xr:uid="{00000000-0005-0000-0000-0000FA050000}"/>
    <cellStyle name="Titre 1 10 2" xfId="1494" xr:uid="{00000000-0005-0000-0000-0000FB050000}"/>
    <cellStyle name="Titre 1 11" xfId="1495" xr:uid="{00000000-0005-0000-0000-0000FC050000}"/>
    <cellStyle name="Titre 1 11 2" xfId="1496" xr:uid="{00000000-0005-0000-0000-0000FD050000}"/>
    <cellStyle name="Titre 1 12" xfId="1497" xr:uid="{00000000-0005-0000-0000-0000FE050000}"/>
    <cellStyle name="Titre 1 12 2" xfId="1498" xr:uid="{00000000-0005-0000-0000-0000FF050000}"/>
    <cellStyle name="Titre 1 13" xfId="1499" xr:uid="{00000000-0005-0000-0000-000000060000}"/>
    <cellStyle name="Titre 1 13 2" xfId="1500" xr:uid="{00000000-0005-0000-0000-000001060000}"/>
    <cellStyle name="Titre 1 14" xfId="1501" xr:uid="{00000000-0005-0000-0000-000002060000}"/>
    <cellStyle name="Titre 1 14 2" xfId="1502" xr:uid="{00000000-0005-0000-0000-000003060000}"/>
    <cellStyle name="Titre 1 15" xfId="1503" xr:uid="{00000000-0005-0000-0000-000004060000}"/>
    <cellStyle name="Titre 1 15 2" xfId="1504" xr:uid="{00000000-0005-0000-0000-000005060000}"/>
    <cellStyle name="Titre 1 16" xfId="1505" xr:uid="{00000000-0005-0000-0000-000006060000}"/>
    <cellStyle name="Titre 1 16 2" xfId="1506" xr:uid="{00000000-0005-0000-0000-000007060000}"/>
    <cellStyle name="Titre 1 17" xfId="1507" xr:uid="{00000000-0005-0000-0000-000008060000}"/>
    <cellStyle name="Titre 1 17 2" xfId="1508" xr:uid="{00000000-0005-0000-0000-000009060000}"/>
    <cellStyle name="Titre 1 18" xfId="1509" xr:uid="{00000000-0005-0000-0000-00000A060000}"/>
    <cellStyle name="Titre 1 18 2" xfId="1510" xr:uid="{00000000-0005-0000-0000-00000B060000}"/>
    <cellStyle name="Titre 1 19" xfId="1511" xr:uid="{00000000-0005-0000-0000-00000C060000}"/>
    <cellStyle name="Titre 1 19 2" xfId="1512" xr:uid="{00000000-0005-0000-0000-00000D060000}"/>
    <cellStyle name="Titre 1 2" xfId="1513" xr:uid="{00000000-0005-0000-0000-00000E060000}"/>
    <cellStyle name="Titre 1 2 2" xfId="1514" xr:uid="{00000000-0005-0000-0000-00000F060000}"/>
    <cellStyle name="Titre 1 3" xfId="1515" xr:uid="{00000000-0005-0000-0000-000010060000}"/>
    <cellStyle name="Titre 1 3 2" xfId="1516" xr:uid="{00000000-0005-0000-0000-000011060000}"/>
    <cellStyle name="Titre 1 4" xfId="1517" xr:uid="{00000000-0005-0000-0000-000012060000}"/>
    <cellStyle name="Titre 1 4 2" xfId="1518" xr:uid="{00000000-0005-0000-0000-000013060000}"/>
    <cellStyle name="Titre 1 5" xfId="1519" xr:uid="{00000000-0005-0000-0000-000014060000}"/>
    <cellStyle name="Titre 1 5 2" xfId="1520" xr:uid="{00000000-0005-0000-0000-000015060000}"/>
    <cellStyle name="Titre 1 6" xfId="1521" xr:uid="{00000000-0005-0000-0000-000016060000}"/>
    <cellStyle name="Titre 1 6 2" xfId="1522" xr:uid="{00000000-0005-0000-0000-000017060000}"/>
    <cellStyle name="Titre 1 7" xfId="1523" xr:uid="{00000000-0005-0000-0000-000018060000}"/>
    <cellStyle name="Titre 1 7 2" xfId="1524" xr:uid="{00000000-0005-0000-0000-000019060000}"/>
    <cellStyle name="Titre 1 8" xfId="1525" xr:uid="{00000000-0005-0000-0000-00001A060000}"/>
    <cellStyle name="Titre 1 8 2" xfId="1526" xr:uid="{00000000-0005-0000-0000-00001B060000}"/>
    <cellStyle name="Titre 1 9" xfId="1527" xr:uid="{00000000-0005-0000-0000-00001C060000}"/>
    <cellStyle name="Titre 1 9 2" xfId="1528" xr:uid="{00000000-0005-0000-0000-00001D060000}"/>
    <cellStyle name="Titre 2 10" xfId="1529" xr:uid="{00000000-0005-0000-0000-00001E060000}"/>
    <cellStyle name="Titre 2 10 2" xfId="1530" xr:uid="{00000000-0005-0000-0000-00001F060000}"/>
    <cellStyle name="Titre 2 11" xfId="1531" xr:uid="{00000000-0005-0000-0000-000020060000}"/>
    <cellStyle name="Titre 2 11 2" xfId="1532" xr:uid="{00000000-0005-0000-0000-000021060000}"/>
    <cellStyle name="Titre 2 12" xfId="1533" xr:uid="{00000000-0005-0000-0000-000022060000}"/>
    <cellStyle name="Titre 2 12 2" xfId="1534" xr:uid="{00000000-0005-0000-0000-000023060000}"/>
    <cellStyle name="Titre 2 13" xfId="1535" xr:uid="{00000000-0005-0000-0000-000024060000}"/>
    <cellStyle name="Titre 2 13 2" xfId="1536" xr:uid="{00000000-0005-0000-0000-000025060000}"/>
    <cellStyle name="Titre 2 14" xfId="1537" xr:uid="{00000000-0005-0000-0000-000026060000}"/>
    <cellStyle name="Titre 2 14 2" xfId="1538" xr:uid="{00000000-0005-0000-0000-000027060000}"/>
    <cellStyle name="Titre 2 15" xfId="1539" xr:uid="{00000000-0005-0000-0000-000028060000}"/>
    <cellStyle name="Titre 2 15 2" xfId="1540" xr:uid="{00000000-0005-0000-0000-000029060000}"/>
    <cellStyle name="Titre 2 16" xfId="1541" xr:uid="{00000000-0005-0000-0000-00002A060000}"/>
    <cellStyle name="Titre 2 16 2" xfId="1542" xr:uid="{00000000-0005-0000-0000-00002B060000}"/>
    <cellStyle name="Titre 2 17" xfId="1543" xr:uid="{00000000-0005-0000-0000-00002C060000}"/>
    <cellStyle name="Titre 2 17 2" xfId="1544" xr:uid="{00000000-0005-0000-0000-00002D060000}"/>
    <cellStyle name="Titre 2 18" xfId="1545" xr:uid="{00000000-0005-0000-0000-00002E060000}"/>
    <cellStyle name="Titre 2 18 2" xfId="1546" xr:uid="{00000000-0005-0000-0000-00002F060000}"/>
    <cellStyle name="Titre 2 19" xfId="1547" xr:uid="{00000000-0005-0000-0000-000030060000}"/>
    <cellStyle name="Titre 2 19 2" xfId="1548" xr:uid="{00000000-0005-0000-0000-000031060000}"/>
    <cellStyle name="Titre 2 2" xfId="1549" xr:uid="{00000000-0005-0000-0000-000032060000}"/>
    <cellStyle name="Titre 2 2 2" xfId="1550" xr:uid="{00000000-0005-0000-0000-000033060000}"/>
    <cellStyle name="Titre 2 3" xfId="1551" xr:uid="{00000000-0005-0000-0000-000034060000}"/>
    <cellStyle name="Titre 2 3 2" xfId="1552" xr:uid="{00000000-0005-0000-0000-000035060000}"/>
    <cellStyle name="Titre 2 4" xfId="1553" xr:uid="{00000000-0005-0000-0000-000036060000}"/>
    <cellStyle name="Titre 2 4 2" xfId="1554" xr:uid="{00000000-0005-0000-0000-000037060000}"/>
    <cellStyle name="Titre 2 5" xfId="1555" xr:uid="{00000000-0005-0000-0000-000038060000}"/>
    <cellStyle name="Titre 2 5 2" xfId="1556" xr:uid="{00000000-0005-0000-0000-000039060000}"/>
    <cellStyle name="Titre 2 6" xfId="1557" xr:uid="{00000000-0005-0000-0000-00003A060000}"/>
    <cellStyle name="Titre 2 6 2" xfId="1558" xr:uid="{00000000-0005-0000-0000-00003B060000}"/>
    <cellStyle name="Titre 2 7" xfId="1559" xr:uid="{00000000-0005-0000-0000-00003C060000}"/>
    <cellStyle name="Titre 2 7 2" xfId="1560" xr:uid="{00000000-0005-0000-0000-00003D060000}"/>
    <cellStyle name="Titre 2 8" xfId="1561" xr:uid="{00000000-0005-0000-0000-00003E060000}"/>
    <cellStyle name="Titre 2 8 2" xfId="1562" xr:uid="{00000000-0005-0000-0000-00003F060000}"/>
    <cellStyle name="Titre 2 9" xfId="1563" xr:uid="{00000000-0005-0000-0000-000040060000}"/>
    <cellStyle name="Titre 2 9 2" xfId="1564" xr:uid="{00000000-0005-0000-0000-000041060000}"/>
    <cellStyle name="Titre 3 10" xfId="1565" xr:uid="{00000000-0005-0000-0000-000042060000}"/>
    <cellStyle name="Titre 3 10 2" xfId="1566" xr:uid="{00000000-0005-0000-0000-000043060000}"/>
    <cellStyle name="Titre 3 11" xfId="1567" xr:uid="{00000000-0005-0000-0000-000044060000}"/>
    <cellStyle name="Titre 3 11 2" xfId="1568" xr:uid="{00000000-0005-0000-0000-000045060000}"/>
    <cellStyle name="Titre 3 12" xfId="1569" xr:uid="{00000000-0005-0000-0000-000046060000}"/>
    <cellStyle name="Titre 3 12 2" xfId="1570" xr:uid="{00000000-0005-0000-0000-000047060000}"/>
    <cellStyle name="Titre 3 13" xfId="1571" xr:uid="{00000000-0005-0000-0000-000048060000}"/>
    <cellStyle name="Titre 3 13 2" xfId="1572" xr:uid="{00000000-0005-0000-0000-000049060000}"/>
    <cellStyle name="Titre 3 14" xfId="1573" xr:uid="{00000000-0005-0000-0000-00004A060000}"/>
    <cellStyle name="Titre 3 14 2" xfId="1574" xr:uid="{00000000-0005-0000-0000-00004B060000}"/>
    <cellStyle name="Titre 3 15" xfId="1575" xr:uid="{00000000-0005-0000-0000-00004C060000}"/>
    <cellStyle name="Titre 3 15 2" xfId="1576" xr:uid="{00000000-0005-0000-0000-00004D060000}"/>
    <cellStyle name="Titre 3 16" xfId="1577" xr:uid="{00000000-0005-0000-0000-00004E060000}"/>
    <cellStyle name="Titre 3 16 2" xfId="1578" xr:uid="{00000000-0005-0000-0000-00004F060000}"/>
    <cellStyle name="Titre 3 17" xfId="1579" xr:uid="{00000000-0005-0000-0000-000050060000}"/>
    <cellStyle name="Titre 3 17 2" xfId="1580" xr:uid="{00000000-0005-0000-0000-000051060000}"/>
    <cellStyle name="Titre 3 18" xfId="1581" xr:uid="{00000000-0005-0000-0000-000052060000}"/>
    <cellStyle name="Titre 3 18 2" xfId="1582" xr:uid="{00000000-0005-0000-0000-000053060000}"/>
    <cellStyle name="Titre 3 19" xfId="1583" xr:uid="{00000000-0005-0000-0000-000054060000}"/>
    <cellStyle name="Titre 3 19 2" xfId="1584" xr:uid="{00000000-0005-0000-0000-000055060000}"/>
    <cellStyle name="Titre 3 2" xfId="1585" xr:uid="{00000000-0005-0000-0000-000056060000}"/>
    <cellStyle name="Titre 3 2 2" xfId="1586" xr:uid="{00000000-0005-0000-0000-000057060000}"/>
    <cellStyle name="Titre 3 3" xfId="1587" xr:uid="{00000000-0005-0000-0000-000058060000}"/>
    <cellStyle name="Titre 3 3 2" xfId="1588" xr:uid="{00000000-0005-0000-0000-000059060000}"/>
    <cellStyle name="Titre 3 4" xfId="1589" xr:uid="{00000000-0005-0000-0000-00005A060000}"/>
    <cellStyle name="Titre 3 4 2" xfId="1590" xr:uid="{00000000-0005-0000-0000-00005B060000}"/>
    <cellStyle name="Titre 3 5" xfId="1591" xr:uid="{00000000-0005-0000-0000-00005C060000}"/>
    <cellStyle name="Titre 3 5 2" xfId="1592" xr:uid="{00000000-0005-0000-0000-00005D060000}"/>
    <cellStyle name="Titre 3 6" xfId="1593" xr:uid="{00000000-0005-0000-0000-00005E060000}"/>
    <cellStyle name="Titre 3 6 2" xfId="1594" xr:uid="{00000000-0005-0000-0000-00005F060000}"/>
    <cellStyle name="Titre 3 7" xfId="1595" xr:uid="{00000000-0005-0000-0000-000060060000}"/>
    <cellStyle name="Titre 3 7 2" xfId="1596" xr:uid="{00000000-0005-0000-0000-000061060000}"/>
    <cellStyle name="Titre 3 8" xfId="1597" xr:uid="{00000000-0005-0000-0000-000062060000}"/>
    <cellStyle name="Titre 3 8 2" xfId="1598" xr:uid="{00000000-0005-0000-0000-000063060000}"/>
    <cellStyle name="Titre 3 9" xfId="1599" xr:uid="{00000000-0005-0000-0000-000064060000}"/>
    <cellStyle name="Titre 3 9 2" xfId="1600" xr:uid="{00000000-0005-0000-0000-000065060000}"/>
    <cellStyle name="Titre 4 10" xfId="1601" xr:uid="{00000000-0005-0000-0000-000066060000}"/>
    <cellStyle name="Titre 4 10 2" xfId="1602" xr:uid="{00000000-0005-0000-0000-000067060000}"/>
    <cellStyle name="Titre 4 11" xfId="1603" xr:uid="{00000000-0005-0000-0000-000068060000}"/>
    <cellStyle name="Titre 4 11 2" xfId="1604" xr:uid="{00000000-0005-0000-0000-000069060000}"/>
    <cellStyle name="Titre 4 12" xfId="1605" xr:uid="{00000000-0005-0000-0000-00006A060000}"/>
    <cellStyle name="Titre 4 12 2" xfId="1606" xr:uid="{00000000-0005-0000-0000-00006B060000}"/>
    <cellStyle name="Titre 4 13" xfId="1607" xr:uid="{00000000-0005-0000-0000-00006C060000}"/>
    <cellStyle name="Titre 4 13 2" xfId="1608" xr:uid="{00000000-0005-0000-0000-00006D060000}"/>
    <cellStyle name="Titre 4 14" xfId="1609" xr:uid="{00000000-0005-0000-0000-00006E060000}"/>
    <cellStyle name="Titre 4 14 2" xfId="1610" xr:uid="{00000000-0005-0000-0000-00006F060000}"/>
    <cellStyle name="Titre 4 15" xfId="1611" xr:uid="{00000000-0005-0000-0000-000070060000}"/>
    <cellStyle name="Titre 4 15 2" xfId="1612" xr:uid="{00000000-0005-0000-0000-000071060000}"/>
    <cellStyle name="Titre 4 16" xfId="1613" xr:uid="{00000000-0005-0000-0000-000072060000}"/>
    <cellStyle name="Titre 4 16 2" xfId="1614" xr:uid="{00000000-0005-0000-0000-000073060000}"/>
    <cellStyle name="Titre 4 17" xfId="1615" xr:uid="{00000000-0005-0000-0000-000074060000}"/>
    <cellStyle name="Titre 4 17 2" xfId="1616" xr:uid="{00000000-0005-0000-0000-000075060000}"/>
    <cellStyle name="Titre 4 18" xfId="1617" xr:uid="{00000000-0005-0000-0000-000076060000}"/>
    <cellStyle name="Titre 4 18 2" xfId="1618" xr:uid="{00000000-0005-0000-0000-000077060000}"/>
    <cellStyle name="Titre 4 19" xfId="1619" xr:uid="{00000000-0005-0000-0000-000078060000}"/>
    <cellStyle name="Titre 4 19 2" xfId="1620" xr:uid="{00000000-0005-0000-0000-000079060000}"/>
    <cellStyle name="Titre 4 2" xfId="1621" xr:uid="{00000000-0005-0000-0000-00007A060000}"/>
    <cellStyle name="Titre 4 2 2" xfId="1622" xr:uid="{00000000-0005-0000-0000-00007B060000}"/>
    <cellStyle name="Titre 4 3" xfId="1623" xr:uid="{00000000-0005-0000-0000-00007C060000}"/>
    <cellStyle name="Titre 4 3 2" xfId="1624" xr:uid="{00000000-0005-0000-0000-00007D060000}"/>
    <cellStyle name="Titre 4 4" xfId="1625" xr:uid="{00000000-0005-0000-0000-00007E060000}"/>
    <cellStyle name="Titre 4 4 2" xfId="1626" xr:uid="{00000000-0005-0000-0000-00007F060000}"/>
    <cellStyle name="Titre 4 5" xfId="1627" xr:uid="{00000000-0005-0000-0000-000080060000}"/>
    <cellStyle name="Titre 4 5 2" xfId="1628" xr:uid="{00000000-0005-0000-0000-000081060000}"/>
    <cellStyle name="Titre 4 6" xfId="1629" xr:uid="{00000000-0005-0000-0000-000082060000}"/>
    <cellStyle name="Titre 4 6 2" xfId="1630" xr:uid="{00000000-0005-0000-0000-000083060000}"/>
    <cellStyle name="Titre 4 7" xfId="1631" xr:uid="{00000000-0005-0000-0000-000084060000}"/>
    <cellStyle name="Titre 4 7 2" xfId="1632" xr:uid="{00000000-0005-0000-0000-000085060000}"/>
    <cellStyle name="Titre 4 8" xfId="1633" xr:uid="{00000000-0005-0000-0000-000086060000}"/>
    <cellStyle name="Titre 4 8 2" xfId="1634" xr:uid="{00000000-0005-0000-0000-000087060000}"/>
    <cellStyle name="Titre 4 9" xfId="1635" xr:uid="{00000000-0005-0000-0000-000088060000}"/>
    <cellStyle name="Titre 4 9 2" xfId="1636" xr:uid="{00000000-0005-0000-0000-000089060000}"/>
    <cellStyle name="Total 10" xfId="1637" xr:uid="{00000000-0005-0000-0000-00008A060000}"/>
    <cellStyle name="Total 10 2" xfId="1638" xr:uid="{00000000-0005-0000-0000-00008B060000}"/>
    <cellStyle name="Total 11" xfId="1639" xr:uid="{00000000-0005-0000-0000-00008C060000}"/>
    <cellStyle name="Total 11 2" xfId="1640" xr:uid="{00000000-0005-0000-0000-00008D060000}"/>
    <cellStyle name="Total 12" xfId="1641" xr:uid="{00000000-0005-0000-0000-00008E060000}"/>
    <cellStyle name="Total 12 2" xfId="1642" xr:uid="{00000000-0005-0000-0000-00008F060000}"/>
    <cellStyle name="Total 13" xfId="1643" xr:uid="{00000000-0005-0000-0000-000090060000}"/>
    <cellStyle name="Total 13 2" xfId="1644" xr:uid="{00000000-0005-0000-0000-000091060000}"/>
    <cellStyle name="Total 14" xfId="1645" xr:uid="{00000000-0005-0000-0000-000092060000}"/>
    <cellStyle name="Total 14 2" xfId="1646" xr:uid="{00000000-0005-0000-0000-000093060000}"/>
    <cellStyle name="Total 15" xfId="1647" xr:uid="{00000000-0005-0000-0000-000094060000}"/>
    <cellStyle name="Total 15 2" xfId="1648" xr:uid="{00000000-0005-0000-0000-000095060000}"/>
    <cellStyle name="Total 16" xfId="1649" xr:uid="{00000000-0005-0000-0000-000096060000}"/>
    <cellStyle name="Total 16 2" xfId="1650" xr:uid="{00000000-0005-0000-0000-000097060000}"/>
    <cellStyle name="Total 17" xfId="1651" xr:uid="{00000000-0005-0000-0000-000098060000}"/>
    <cellStyle name="Total 17 2" xfId="1652" xr:uid="{00000000-0005-0000-0000-000099060000}"/>
    <cellStyle name="Total 18" xfId="1653" xr:uid="{00000000-0005-0000-0000-00009A060000}"/>
    <cellStyle name="Total 18 2" xfId="1654" xr:uid="{00000000-0005-0000-0000-00009B060000}"/>
    <cellStyle name="Total 19" xfId="1655" xr:uid="{00000000-0005-0000-0000-00009C060000}"/>
    <cellStyle name="Total 19 2" xfId="1656" xr:uid="{00000000-0005-0000-0000-00009D060000}"/>
    <cellStyle name="Total 2" xfId="1657" xr:uid="{00000000-0005-0000-0000-00009E060000}"/>
    <cellStyle name="Total 2 2" xfId="1658" xr:uid="{00000000-0005-0000-0000-00009F060000}"/>
    <cellStyle name="Total 3" xfId="1659" xr:uid="{00000000-0005-0000-0000-0000A0060000}"/>
    <cellStyle name="Total 3 2" xfId="1660" xr:uid="{00000000-0005-0000-0000-0000A1060000}"/>
    <cellStyle name="Total 4" xfId="1661" xr:uid="{00000000-0005-0000-0000-0000A2060000}"/>
    <cellStyle name="Total 4 2" xfId="1662" xr:uid="{00000000-0005-0000-0000-0000A3060000}"/>
    <cellStyle name="Total 5" xfId="1663" xr:uid="{00000000-0005-0000-0000-0000A4060000}"/>
    <cellStyle name="Total 5 2" xfId="1664" xr:uid="{00000000-0005-0000-0000-0000A5060000}"/>
    <cellStyle name="Total 6" xfId="1665" xr:uid="{00000000-0005-0000-0000-0000A6060000}"/>
    <cellStyle name="Total 6 2" xfId="1666" xr:uid="{00000000-0005-0000-0000-0000A7060000}"/>
    <cellStyle name="Total 7" xfId="1667" xr:uid="{00000000-0005-0000-0000-0000A8060000}"/>
    <cellStyle name="Total 7 2" xfId="1668" xr:uid="{00000000-0005-0000-0000-0000A9060000}"/>
    <cellStyle name="Total 8" xfId="1669" xr:uid="{00000000-0005-0000-0000-0000AA060000}"/>
    <cellStyle name="Total 8 2" xfId="1670" xr:uid="{00000000-0005-0000-0000-0000AB060000}"/>
    <cellStyle name="Total 9" xfId="1671" xr:uid="{00000000-0005-0000-0000-0000AC060000}"/>
    <cellStyle name="Total 9 2" xfId="1672" xr:uid="{00000000-0005-0000-0000-0000AD060000}"/>
    <cellStyle name="Vérification 10" xfId="1673" xr:uid="{00000000-0005-0000-0000-0000AE060000}"/>
    <cellStyle name="Vérification 10 2" xfId="1674" xr:uid="{00000000-0005-0000-0000-0000AF060000}"/>
    <cellStyle name="Vérification 11" xfId="1675" xr:uid="{00000000-0005-0000-0000-0000B0060000}"/>
    <cellStyle name="Vérification 11 2" xfId="1676" xr:uid="{00000000-0005-0000-0000-0000B1060000}"/>
    <cellStyle name="Vérification 12" xfId="1677" xr:uid="{00000000-0005-0000-0000-0000B2060000}"/>
    <cellStyle name="Vérification 12 2" xfId="1678" xr:uid="{00000000-0005-0000-0000-0000B3060000}"/>
    <cellStyle name="Vérification 13" xfId="1679" xr:uid="{00000000-0005-0000-0000-0000B4060000}"/>
    <cellStyle name="Vérification 13 2" xfId="1680" xr:uid="{00000000-0005-0000-0000-0000B5060000}"/>
    <cellStyle name="Vérification 14" xfId="1681" xr:uid="{00000000-0005-0000-0000-0000B6060000}"/>
    <cellStyle name="Vérification 14 2" xfId="1682" xr:uid="{00000000-0005-0000-0000-0000B7060000}"/>
    <cellStyle name="Vérification 15" xfId="1683" xr:uid="{00000000-0005-0000-0000-0000B8060000}"/>
    <cellStyle name="Vérification 15 2" xfId="1684" xr:uid="{00000000-0005-0000-0000-0000B9060000}"/>
    <cellStyle name="Vérification 16" xfId="1685" xr:uid="{00000000-0005-0000-0000-0000BA060000}"/>
    <cellStyle name="Vérification 16 2" xfId="1686" xr:uid="{00000000-0005-0000-0000-0000BB060000}"/>
    <cellStyle name="Vérification 17" xfId="1687" xr:uid="{00000000-0005-0000-0000-0000BC060000}"/>
    <cellStyle name="Vérification 17 2" xfId="1688" xr:uid="{00000000-0005-0000-0000-0000BD060000}"/>
    <cellStyle name="Vérification 18" xfId="1689" xr:uid="{00000000-0005-0000-0000-0000BE060000}"/>
    <cellStyle name="Vérification 18 2" xfId="1690" xr:uid="{00000000-0005-0000-0000-0000BF060000}"/>
    <cellStyle name="Vérification 19" xfId="1691" xr:uid="{00000000-0005-0000-0000-0000C0060000}"/>
    <cellStyle name="Vérification 19 2" xfId="1692" xr:uid="{00000000-0005-0000-0000-0000C1060000}"/>
    <cellStyle name="Vérification 2" xfId="1693" xr:uid="{00000000-0005-0000-0000-0000C2060000}"/>
    <cellStyle name="Vérification 2 2" xfId="1694" xr:uid="{00000000-0005-0000-0000-0000C3060000}"/>
    <cellStyle name="Vérification 3" xfId="1695" xr:uid="{00000000-0005-0000-0000-0000C4060000}"/>
    <cellStyle name="Vérification 3 2" xfId="1696" xr:uid="{00000000-0005-0000-0000-0000C5060000}"/>
    <cellStyle name="Vérification 4" xfId="1697" xr:uid="{00000000-0005-0000-0000-0000C6060000}"/>
    <cellStyle name="Vérification 4 2" xfId="1698" xr:uid="{00000000-0005-0000-0000-0000C7060000}"/>
    <cellStyle name="Vérification 5" xfId="1699" xr:uid="{00000000-0005-0000-0000-0000C8060000}"/>
    <cellStyle name="Vérification 5 2" xfId="1700" xr:uid="{00000000-0005-0000-0000-0000C9060000}"/>
    <cellStyle name="Vérification 6" xfId="1701" xr:uid="{00000000-0005-0000-0000-0000CA060000}"/>
    <cellStyle name="Vérification 6 2" xfId="1702" xr:uid="{00000000-0005-0000-0000-0000CB060000}"/>
    <cellStyle name="Vérification 7" xfId="1703" xr:uid="{00000000-0005-0000-0000-0000CC060000}"/>
    <cellStyle name="Vérification 7 2" xfId="1704" xr:uid="{00000000-0005-0000-0000-0000CD060000}"/>
    <cellStyle name="Vérification 8" xfId="1705" xr:uid="{00000000-0005-0000-0000-0000CE060000}"/>
    <cellStyle name="Vérification 8 2" xfId="1706" xr:uid="{00000000-0005-0000-0000-0000CF060000}"/>
    <cellStyle name="Vérification 9" xfId="1707" xr:uid="{00000000-0005-0000-0000-0000D0060000}"/>
    <cellStyle name="Vérification 9 2" xfId="1708" xr:uid="{00000000-0005-0000-0000-0000D10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840441</xdr:colOff>
      <xdr:row>2</xdr:row>
      <xdr:rowOff>100853</xdr:rowOff>
    </xdr:from>
    <xdr:to>
      <xdr:col>3</xdr:col>
      <xdr:colOff>528917</xdr:colOff>
      <xdr:row>9</xdr:row>
      <xdr:rowOff>81803</xdr:rowOff>
    </xdr:to>
    <xdr:pic>
      <xdr:nvPicPr>
        <xdr:cNvPr id="4" name="Image 3" descr="C:\Users\son0379\Desktop\Exe_Logo-Sonatrach_CMJN.jpg">
          <a:extLst>
            <a:ext uri="{FF2B5EF4-FFF2-40B4-BE49-F238E27FC236}">
              <a16:creationId xmlns:a16="http://schemas.microsoft.com/office/drawing/2014/main" id="{109F4A1A-299C-40B3-B57A-DDBC2D78CDB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97088" y="481853"/>
          <a:ext cx="1066800" cy="13144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ouaki\e\CONJONCTURE\Not.Conj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EXP-ACT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hezali\c\Mes%20documents\PLAN9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2006\PRODUCTION\DRep-Jan07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on2754/Desktop/&#233;l&#233;ments%20reporting%202025/Nouveau%20dossier%20bilan%202025/Reporting%20SPE-Ann&#233;s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 (2)"/>
      <sheetName val="Réserves"/>
      <sheetName val="LTH (5)"/>
      <sheetName val="RECH EXPLO (2)"/>
      <sheetName val="PROD"/>
      <sheetName val="graphes"/>
      <sheetName val="COM"/>
      <sheetName val="Agregats Finnaciers"/>
      <sheetName val="Graph1"/>
      <sheetName val="EMPLOI"/>
      <sheetName val="Activité Forage  (2)"/>
      <sheetName val="CONSOL"/>
      <sheetName val="COM_(2)"/>
      <sheetName val="LTH_(5)"/>
      <sheetName val="RECH_EXPLO_(2)"/>
      <sheetName val="Agregats_Finnaciers"/>
      <sheetName val="Activité_Forage__(2)"/>
      <sheetName val="consommation_BT_GWh"/>
      <sheetName val="COM_(2)5"/>
      <sheetName val="LTH_(5)5"/>
      <sheetName val="RECH_EXPLO_(2)5"/>
      <sheetName val="Agregats_Finnaciers5"/>
      <sheetName val="Activité_Forage__(2)5"/>
      <sheetName val="COM_(2)1"/>
      <sheetName val="LTH_(5)1"/>
      <sheetName val="RECH_EXPLO_(2)1"/>
      <sheetName val="Agregats_Finnaciers1"/>
      <sheetName val="Activité_Forage__(2)1"/>
      <sheetName val="COM_(2)3"/>
      <sheetName val="LTH_(5)3"/>
      <sheetName val="RECH_EXPLO_(2)3"/>
      <sheetName val="Agregats_Finnaciers3"/>
      <sheetName val="Activité_Forage__(2)3"/>
      <sheetName val="COM_(2)2"/>
      <sheetName val="LTH_(5)2"/>
      <sheetName val="RECH_EXPLO_(2)2"/>
      <sheetName val="Agregats_Finnaciers2"/>
      <sheetName val="Activité_Forage__(2)2"/>
      <sheetName val="COM_(2)4"/>
      <sheetName val="LTH_(5)4"/>
      <sheetName val="RECH_EXPLO_(2)4"/>
      <sheetName val="Agregats_Finnaciers4"/>
      <sheetName val="Activité_Forage__(2)4"/>
      <sheetName val="COM_(2)6"/>
      <sheetName val="LTH_(5)6"/>
      <sheetName val="RECH_EXPLO_(2)6"/>
      <sheetName val="Agregats_Finnaciers6"/>
      <sheetName val="Activité_Forage__(2)6"/>
      <sheetName val="Scoop"/>
      <sheetName val="COM_(2)7"/>
      <sheetName val="LTH_(5)7"/>
      <sheetName val="RECH_EXPLO_(2)7"/>
      <sheetName val="Agregats_Finnaciers7"/>
      <sheetName val="Activité_Forage__(2)7"/>
      <sheetName val="HX"/>
      <sheetName val="Comparaison- 2020- 2019"/>
      <sheetName val="COM_(2)8"/>
      <sheetName val="LTH_(5)8"/>
      <sheetName val="RECH_EXPLO_(2)8"/>
      <sheetName val="Agregats_Finnaciers8"/>
      <sheetName val="Activité_Forage__(2)8"/>
      <sheetName val="Prod.Phys"/>
      <sheetName val="PG"/>
      <sheetName val="COM_(2)9"/>
      <sheetName val="LTH_(5)9"/>
      <sheetName val="RECH_EXPLO_(2)9"/>
      <sheetName val="Agregats_Finnaciers9"/>
      <sheetName val="Activité_Forage__(2)9"/>
      <sheetName val="COM_(2)10"/>
      <sheetName val="LTH_(5)10"/>
      <sheetName val="RECH_EXPLO_(2)10"/>
      <sheetName val="Agregats_Finnaciers10"/>
      <sheetName val="Activité_Forage__(2)10"/>
      <sheetName val="Prod_Phys"/>
      <sheetName val="Prod_Phys1"/>
      <sheetName val="Prod_Phys2"/>
      <sheetName val="COM_(2)11"/>
      <sheetName val="LTH_(5)11"/>
      <sheetName val="RECH_EXPLO_(2)11"/>
      <sheetName val="Agregats_Finnaciers11"/>
      <sheetName val="Activité_Forage__(2)11"/>
      <sheetName val="Prod_Phys3"/>
      <sheetName val="COM_(2)12"/>
      <sheetName val="LTH_(5)12"/>
      <sheetName val="RECH_EXPLO_(2)12"/>
      <sheetName val="Agregats_Finnaciers12"/>
      <sheetName val="Activité_Forage__(2)12"/>
      <sheetName val="Prod_Phys4"/>
      <sheetName val="COM_(2)13"/>
      <sheetName val="LTH_(5)13"/>
      <sheetName val="RECH_EXPLO_(2)13"/>
      <sheetName val="Agregats_Finnaciers13"/>
      <sheetName val="Activité_Forage__(2)13"/>
      <sheetName val="Prod_Phys5"/>
      <sheetName val="COM_(2)14"/>
      <sheetName val="LTH_(5)14"/>
      <sheetName val="RECH_EXPLO_(2)14"/>
      <sheetName val="Agregats_Finnaciers14"/>
      <sheetName val="Activité_Forage__(2)14"/>
      <sheetName val="Prod_Phys6"/>
      <sheetName val="COM_(2)15"/>
      <sheetName val="LTH_(5)15"/>
      <sheetName val="RECH_EXPLO_(2)15"/>
      <sheetName val="Agregats_Finnaciers15"/>
      <sheetName val="Activité_Forage__(2)15"/>
      <sheetName val="Prod_Phys7"/>
      <sheetName val="COM_(2)16"/>
      <sheetName val="LTH_(5)16"/>
      <sheetName val="RECH_EXPLO_(2)16"/>
      <sheetName val="Agregats_Finnaciers16"/>
      <sheetName val="Activité_Forage__(2)16"/>
      <sheetName val="Prod_Phys8"/>
      <sheetName val="Not.Conj00"/>
      <sheetName val="COM_(2)17"/>
      <sheetName val="LTH_(5)17"/>
      <sheetName val="RECH_EXPLO_(2)17"/>
      <sheetName val="Agregats_Finnaciers17"/>
      <sheetName val="Activité_Forage__(2)17"/>
      <sheetName val="Prod_Phys9"/>
      <sheetName val="COM_(2)18"/>
      <sheetName val="LTH_(5)18"/>
      <sheetName val="RECH_EXPLO_(2)18"/>
      <sheetName val="Agregats_Finnaciers18"/>
      <sheetName val="Activité_Forage__(2)18"/>
      <sheetName val="Prod_Phys10"/>
      <sheetName val="COM_(2)19"/>
      <sheetName val="LTH_(5)19"/>
      <sheetName val="RECH_EXPLO_(2)19"/>
      <sheetName val="Agregats_Finnaciers19"/>
      <sheetName val="Activité_Forage__(2)19"/>
      <sheetName val="Prod_Phys11"/>
      <sheetName val="COM_(2)20"/>
      <sheetName val="LTH_(5)20"/>
      <sheetName val="RECH_EXPLO_(2)20"/>
      <sheetName val="Agregats_Finnaciers20"/>
      <sheetName val="Activité_Forage__(2)20"/>
      <sheetName val="Prod_Phys12"/>
      <sheetName val="COM_(2)21"/>
      <sheetName val="LTH_(5)21"/>
      <sheetName val="RECH_EXPLO_(2)21"/>
      <sheetName val="Agregats_Finnaciers21"/>
      <sheetName val="Activité_Forage__(2)21"/>
      <sheetName val="Prod_Phys13"/>
      <sheetName val="COM_(2)22"/>
      <sheetName val="LTH_(5)22"/>
      <sheetName val="RECH_EXPLO_(2)22"/>
      <sheetName val="Agregats_Finnaciers22"/>
      <sheetName val="Activité_Forage__(2)22"/>
      <sheetName val="Prod_Phys14"/>
      <sheetName val="COM_(2)24"/>
      <sheetName val="LTH_(5)24"/>
      <sheetName val="RECH_EXPLO_(2)24"/>
      <sheetName val="Agregats_Finnaciers24"/>
      <sheetName val="Activité_Forage__(2)24"/>
      <sheetName val="Prod_Phys16"/>
      <sheetName val="COM_(2)23"/>
      <sheetName val="LTH_(5)23"/>
      <sheetName val="RECH_EXPLO_(2)23"/>
      <sheetName val="Agregats_Finnaciers23"/>
      <sheetName val="Activité_Forage__(2)23"/>
      <sheetName val="Prod_Phys15"/>
      <sheetName val="COM_(2)25"/>
      <sheetName val="LTH_(5)25"/>
      <sheetName val="RECH_EXPLO_(2)25"/>
      <sheetName val="Agregats_Finnaciers25"/>
      <sheetName val="Activité_Forage__(2)25"/>
      <sheetName val="Prod_Phys17"/>
      <sheetName val="Graphes "/>
      <sheetName val="COM_(2)26"/>
      <sheetName val="LTH_(5)26"/>
      <sheetName val="RECH_EXPLO_(2)26"/>
      <sheetName val="Agregats_Finnaciers26"/>
      <sheetName val="Activité_Forage__(2)26"/>
      <sheetName val="Prod_Phys18"/>
      <sheetName val="COM_(2)27"/>
      <sheetName val="LTH_(5)27"/>
      <sheetName val="RECH_EXPLO_(2)27"/>
      <sheetName val="Agregats_Finnaciers27"/>
      <sheetName val="Activité_Forage__(2)27"/>
      <sheetName val="Prod_Phys19"/>
      <sheetName val="total national"/>
      <sheetName val="total_national"/>
      <sheetName val="Comparaison-_2020-_2019"/>
      <sheetName val="total_national1"/>
      <sheetName val="Comparaison-_2020-_20191"/>
      <sheetName val="total_national2"/>
      <sheetName val="Comparaison-_2020-_20192"/>
      <sheetName val="total_national3"/>
      <sheetName val="Comparaison-_2020-_20193"/>
      <sheetName val="total_national5"/>
      <sheetName val="Comparaison-_2020-_20195"/>
      <sheetName val="total_national4"/>
      <sheetName val="Comparaison-_2020-_20194"/>
      <sheetName val="total_national6"/>
      <sheetName val="Comparaison-_2020-_20196"/>
      <sheetName val="total_national7"/>
      <sheetName val="Comparaison-_2020-_20197"/>
      <sheetName val="fuel"/>
      <sheetName val="COM_(2)28"/>
      <sheetName val="LTH_(5)28"/>
      <sheetName val="RECH_EXPLO_(2)28"/>
      <sheetName val="Agregats_Finnaciers28"/>
      <sheetName val="Activité_Forage__(2)28"/>
      <sheetName val="Prod_Phys20"/>
      <sheetName val="COM_(2)29"/>
      <sheetName val="LTH_(5)29"/>
      <sheetName val="RECH_EXPLO_(2)29"/>
      <sheetName val="Agregats_Finnaciers29"/>
      <sheetName val="Activité_Forage__(2)29"/>
      <sheetName val="Prod_Phys21"/>
      <sheetName val="Not_Conj00"/>
      <sheetName val="COM_(2)30"/>
      <sheetName val="LTH_(5)30"/>
      <sheetName val="RECH_EXPLO_(2)30"/>
      <sheetName val="Agregats_Finnaciers30"/>
      <sheetName val="Activité_Forage__(2)30"/>
      <sheetName val="Prod_Phys22"/>
      <sheetName val="Not_Conj001"/>
      <sheetName val="total_national10"/>
      <sheetName val="Comparaison-_2020-_201910"/>
      <sheetName val="Not_Conj002"/>
      <sheetName val="total_national9"/>
      <sheetName val="Comparaison-_2020-_20199"/>
      <sheetName val="total_national8"/>
      <sheetName val="Comparaison-_2020-_20198"/>
      <sheetName val="Cons.Val"/>
      <sheetName val="COM_(2)31"/>
      <sheetName val="LTH_(5)31"/>
      <sheetName val="RECH_EXPLO_(2)31"/>
      <sheetName val="Agregats_Finnaciers31"/>
      <sheetName val="Activité_Forage__(2)31"/>
      <sheetName val="Prod_Phys23"/>
      <sheetName val="COM_(2)32"/>
      <sheetName val="LTH_(5)32"/>
      <sheetName val="RECH_EXPLO_(2)32"/>
      <sheetName val="Agregats_Finnaciers32"/>
      <sheetName val="Activité_Forage__(2)32"/>
      <sheetName val="Prod_Phys24"/>
      <sheetName val="total_national11"/>
      <sheetName val="Comparaison-_2020-_201911"/>
      <sheetName val="Not_Conj003"/>
      <sheetName val="total_national12"/>
      <sheetName val="Comparaison-_2020-_201912"/>
      <sheetName val="Not_Conj004"/>
      <sheetName val="total_national13"/>
      <sheetName val="Comparaison-_2020-_201913"/>
      <sheetName val="Not_Conj005"/>
      <sheetName val="total_national14"/>
      <sheetName val="Comparaison-_2020-_201914"/>
      <sheetName val="Not_Conj006"/>
      <sheetName val="COM_(2)33"/>
      <sheetName val="LTH_(5)33"/>
      <sheetName val="RECH_EXPLO_(2)33"/>
      <sheetName val="Agregats_Finnaciers33"/>
      <sheetName val="Activité_Forage__(2)33"/>
      <sheetName val="total_national15"/>
      <sheetName val="Comparaison-_2020-_201915"/>
      <sheetName val="Prod_Phys25"/>
      <sheetName val="Not_Conj007"/>
      <sheetName val="COM_(2)36"/>
      <sheetName val="LTH_(5)36"/>
      <sheetName val="RECH_EXPLO_(2)36"/>
      <sheetName val="Agregats_Finnaciers36"/>
      <sheetName val="Activité_Forage__(2)36"/>
      <sheetName val="total_national18"/>
      <sheetName val="Comparaison-_2020-_201918"/>
      <sheetName val="Prod_Phys28"/>
      <sheetName val="Not_Conj0010"/>
      <sheetName val="Graphes_2"/>
      <sheetName val="COM_(2)34"/>
      <sheetName val="LTH_(5)34"/>
      <sheetName val="RECH_EXPLO_(2)34"/>
      <sheetName val="Agregats_Finnaciers34"/>
      <sheetName val="Activité_Forage__(2)34"/>
      <sheetName val="total_national16"/>
      <sheetName val="Comparaison-_2020-_201916"/>
      <sheetName val="Prod_Phys26"/>
      <sheetName val="Not_Conj008"/>
      <sheetName val="Graphes_"/>
      <sheetName val="COM_(2)35"/>
      <sheetName val="LTH_(5)35"/>
      <sheetName val="RECH_EXPLO_(2)35"/>
      <sheetName val="Agregats_Finnaciers35"/>
      <sheetName val="Activité_Forage__(2)35"/>
      <sheetName val="total_national17"/>
      <sheetName val="Comparaison-_2020-_201917"/>
      <sheetName val="Prod_Phys27"/>
      <sheetName val="Not_Conj009"/>
      <sheetName val="Graphes_1"/>
      <sheetName val="COM_(2)37"/>
      <sheetName val="LTH_(5)37"/>
      <sheetName val="RECH_EXPLO_(2)37"/>
      <sheetName val="Agregats_Finnaciers37"/>
      <sheetName val="Activité_Forage__(2)37"/>
      <sheetName val="total_national19"/>
      <sheetName val="Comparaison-_2020-_201919"/>
      <sheetName val="Prod_Phys29"/>
      <sheetName val="Not_Conj0011"/>
      <sheetName val="Graphes_3"/>
      <sheetName val="COM_(2)38"/>
      <sheetName val="LTH_(5)38"/>
      <sheetName val="RECH_EXPLO_(2)38"/>
      <sheetName val="Agregats_Finnaciers38"/>
      <sheetName val="Activité_Forage__(2)38"/>
      <sheetName val="total_national20"/>
      <sheetName val="Comparaison-_2020-_201920"/>
      <sheetName val="Prod_Phys30"/>
      <sheetName val="Not_Conj0012"/>
      <sheetName val="Graphes_4"/>
      <sheetName val="COM_(2)40"/>
      <sheetName val="LTH_(5)40"/>
      <sheetName val="RECH_EXPLO_(2)40"/>
      <sheetName val="Agregats_Finnaciers40"/>
      <sheetName val="Activité_Forage__(2)40"/>
      <sheetName val="total_national22"/>
      <sheetName val="Comparaison-_2020-_201922"/>
      <sheetName val="Prod_Phys32"/>
      <sheetName val="Not_Conj0014"/>
      <sheetName val="Graphes_6"/>
      <sheetName val="COM_(2)39"/>
      <sheetName val="LTH_(5)39"/>
      <sheetName val="RECH_EXPLO_(2)39"/>
      <sheetName val="Agregats_Finnaciers39"/>
      <sheetName val="Activité_Forage__(2)39"/>
      <sheetName val="total_national21"/>
      <sheetName val="Comparaison-_2020-_201921"/>
      <sheetName val="Prod_Phys31"/>
      <sheetName val="Not_Conj0013"/>
      <sheetName val="Graphes_5"/>
      <sheetName val="COM_(2)41"/>
      <sheetName val="LTH_(5)41"/>
      <sheetName val="RECH_EXPLO_(2)41"/>
      <sheetName val="Agregats_Finnaciers41"/>
      <sheetName val="Activité_Forage__(2)41"/>
      <sheetName val="total_national23"/>
      <sheetName val="Comparaison-_2020-_201923"/>
      <sheetName val="Prod_Phys33"/>
      <sheetName val="Not_Conj0015"/>
      <sheetName val="COM_(2)42"/>
      <sheetName val="LTH_(5)42"/>
      <sheetName val="RECH_EXPLO_(2)42"/>
      <sheetName val="Agregats_Finnaciers42"/>
      <sheetName val="Activité_Forage__(2)42"/>
      <sheetName val="total_national24"/>
      <sheetName val="Comparaison-_2020-_201924"/>
      <sheetName val="Prod_Phys34"/>
      <sheetName val="Not_Conj0016"/>
      <sheetName val="Graphes_7"/>
      <sheetName val="COM_(2)44"/>
      <sheetName val="LTH_(5)44"/>
      <sheetName val="RECH_EXPLO_(2)44"/>
      <sheetName val="Agregats_Finnaciers44"/>
      <sheetName val="Activité_Forage__(2)44"/>
      <sheetName val="total_national26"/>
      <sheetName val="Comparaison-_2020-_201926"/>
      <sheetName val="Prod_Phys36"/>
      <sheetName val="Not_Conj0018"/>
      <sheetName val="Graphes_9"/>
      <sheetName val="COM_(2)43"/>
      <sheetName val="LTH_(5)43"/>
      <sheetName val="RECH_EXPLO_(2)43"/>
      <sheetName val="Agregats_Finnaciers43"/>
      <sheetName val="Activité_Forage__(2)43"/>
      <sheetName val="total_national25"/>
      <sheetName val="Comparaison-_2020-_201925"/>
      <sheetName val="Prod_Phys35"/>
      <sheetName val="Not_Conj0017"/>
      <sheetName val="Graphes_8"/>
      <sheetName val="COM_(2)45"/>
      <sheetName val="LTH_(5)45"/>
      <sheetName val="RECH_EXPLO_(2)45"/>
      <sheetName val="Agregats_Finnaciers45"/>
      <sheetName val="Activité_Forage__(2)45"/>
      <sheetName val="total_national27"/>
      <sheetName val="Comparaison-_2020-_201927"/>
      <sheetName val="Prod_Phys37"/>
      <sheetName val="Not_Conj0019"/>
      <sheetName val="Graphes_10"/>
      <sheetName val="COM_(2)47"/>
      <sheetName val="LTH_(5)47"/>
      <sheetName val="RECH_EXPLO_(2)47"/>
      <sheetName val="Agregats_Finnaciers47"/>
      <sheetName val="Activité_Forage__(2)47"/>
      <sheetName val="total_national29"/>
      <sheetName val="Comparaison-_2020-_201929"/>
      <sheetName val="Prod_Phys39"/>
      <sheetName val="Not_Conj0021"/>
      <sheetName val="Graphes_12"/>
      <sheetName val="COM_(2)46"/>
      <sheetName val="LTH_(5)46"/>
      <sheetName val="RECH_EXPLO_(2)46"/>
      <sheetName val="Agregats_Finnaciers46"/>
      <sheetName val="Activité_Forage__(2)46"/>
      <sheetName val="total_national28"/>
      <sheetName val="Comparaison-_2020-_201928"/>
      <sheetName val="Prod_Phys38"/>
      <sheetName val="Not_Conj0020"/>
      <sheetName val="Graphes_11"/>
      <sheetName val="COM_(2)48"/>
      <sheetName val="LTH_(5)48"/>
      <sheetName val="RECH_EXPLO_(2)48"/>
      <sheetName val="Agregats_Finnaciers48"/>
      <sheetName val="Activité_Forage__(2)48"/>
      <sheetName val="total_national30"/>
      <sheetName val="Comparaison-_2020-_201930"/>
      <sheetName val="Prod_Phys40"/>
      <sheetName val="Not_Conj0022"/>
      <sheetName val="Graphes_13"/>
      <sheetName val="COM_(2)49"/>
      <sheetName val="LTH_(5)49"/>
      <sheetName val="RECH_EXPLO_(2)49"/>
      <sheetName val="Agregats_Finnaciers49"/>
      <sheetName val="Activité_Forage__(2)49"/>
      <sheetName val="total_national31"/>
      <sheetName val="Comparaison-_2020-_201931"/>
      <sheetName val="Prod_Phys41"/>
      <sheetName val="Not_Conj0023"/>
      <sheetName val="Graphes_14"/>
      <sheetName val="COM_(2)50"/>
      <sheetName val="LTH_(5)50"/>
      <sheetName val="RECH_EXPLO_(2)50"/>
      <sheetName val="Agregats_Finnaciers50"/>
      <sheetName val="Activité_Forage__(2)50"/>
      <sheetName val="total_national32"/>
      <sheetName val="Comparaison-_2020-_201932"/>
      <sheetName val="Prod_Phys42"/>
      <sheetName val="Not_Conj0024"/>
      <sheetName val="Graphes_15"/>
      <sheetName val="Cons_Val"/>
      <sheetName val="COM_(2)51"/>
      <sheetName val="LTH_(5)51"/>
      <sheetName val="RECH_EXPLO_(2)51"/>
      <sheetName val="Agregats_Finnaciers51"/>
      <sheetName val="Activité_Forage__(2)51"/>
      <sheetName val="total_national33"/>
      <sheetName val="Comparaison-_2020-_201933"/>
      <sheetName val="Prod_Phys43"/>
      <sheetName val="Not_Conj0025"/>
      <sheetName val="Graphes_16"/>
      <sheetName val="Cons_Val1"/>
      <sheetName val="COM_(2)52"/>
      <sheetName val="LTH_(5)52"/>
      <sheetName val="RECH_EXPLO_(2)52"/>
      <sheetName val="Agregats_Finnaciers52"/>
      <sheetName val="Activité_Forage__(2)52"/>
      <sheetName val="total_national34"/>
      <sheetName val="Comparaison-_2020-_201934"/>
      <sheetName val="Prod_Phys44"/>
      <sheetName val="Not_Conj0026"/>
      <sheetName val="Graphes_17"/>
      <sheetName val="Cons_Val2"/>
      <sheetName val="#REF"/>
      <sheetName val="GPL&amp;Kéro 2025-2028"/>
      <sheetName val="Cons_Val3"/>
      <sheetName val="Cons_Val7"/>
      <sheetName val="Cons_Val6"/>
      <sheetName val="Cons_Val4"/>
      <sheetName val="Cons_Val5"/>
      <sheetName val="COM_(2)54"/>
      <sheetName val="LTH_(5)54"/>
      <sheetName val="RECH_EXPLO_(2)54"/>
      <sheetName val="Agregats_Finnaciers54"/>
      <sheetName val="Activité_Forage__(2)54"/>
      <sheetName val="total_national3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 refreshError="1"/>
      <sheetData sheetId="452" refreshError="1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t. Réal."/>
      <sheetName val="Base"/>
      <sheetName val="Rec"/>
      <sheetName val="expract"/>
      <sheetName val="REC0Act"/>
      <sheetName val="EXP1"/>
      <sheetName val="EXP2"/>
      <sheetName val="EXP3"/>
      <sheetName val="EXP4 "/>
      <sheetName val="EXP5"/>
      <sheetName val="EXP6"/>
      <sheetName val="EXP6.1"/>
      <sheetName val="Feuil1"/>
      <sheetName val="Tableau de production"/>
      <sheetName val="II- Prestations 12"/>
      <sheetName val="印刷例"/>
      <sheetName val="EXP-09"/>
      <sheetName val="Scoop"/>
      <sheetName val="Prod.Phys"/>
      <sheetName val="Schéma Synoptique"/>
      <sheetName val="Insts"/>
      <sheetName val="Stock"/>
      <sheetName val="갑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MEL99"/>
      <sheetName val="HYPO"/>
      <sheetName val="DPR1"/>
      <sheetName val="DPR2"/>
      <sheetName val="AST"/>
      <sheetName val="TRC"/>
      <sheetName val="LTH"/>
      <sheetName val="RAFF"/>
      <sheetName val="Bilan"/>
      <sheetName val="M.E"/>
      <sheetName val="M.N"/>
      <sheetName val="PRIX"/>
      <sheetName val="CAFF99"/>
      <sheetName val="GRAPHE"/>
      <sheetName val="HOCINE"/>
      <sheetName val="ECARTS"/>
      <sheetName val="DECISIONS"/>
      <sheetName val="Feuil1"/>
      <sheetName val="M_E"/>
      <sheetName val="M_N"/>
      <sheetName val="M_E5"/>
      <sheetName val="M_N5"/>
      <sheetName val="M_E1"/>
      <sheetName val="M_N1"/>
      <sheetName val="M_E3"/>
      <sheetName val="M_N3"/>
      <sheetName val="M_E2"/>
      <sheetName val="M_N2"/>
      <sheetName val="M_E4"/>
      <sheetName val="M_N4"/>
      <sheetName val="M_E6"/>
      <sheetName val="M_N6"/>
      <sheetName val="M_E7"/>
      <sheetName val="M_N7"/>
      <sheetName val="CS"/>
      <sheetName val="M_E8"/>
      <sheetName val="M_N8"/>
      <sheetName val="BDD"/>
      <sheetName val="Fr.Gn"/>
      <sheetName val="M_E9"/>
      <sheetName val="M_N9"/>
      <sheetName val="M_E10"/>
      <sheetName val="M_N10"/>
      <sheetName val="Fr_Gn"/>
      <sheetName val="Fr_Gn1"/>
      <sheetName val="Fr_Gn2"/>
      <sheetName val="M_E11"/>
      <sheetName val="M_N11"/>
      <sheetName val="Fr_Gn3"/>
      <sheetName val="M_E12"/>
      <sheetName val="M_N12"/>
      <sheetName val="Fr_Gn4"/>
      <sheetName val="M_E13"/>
      <sheetName val="M_N13"/>
      <sheetName val="Fr_Gn5"/>
      <sheetName val="M_E14"/>
      <sheetName val="M_N14"/>
      <sheetName val="Fr_Gn6"/>
      <sheetName val="M_E15"/>
      <sheetName val="M_N15"/>
      <sheetName val="Fr_Gn7"/>
      <sheetName val="M_E16"/>
      <sheetName val="M_N16"/>
      <sheetName val="Fr_Gn8"/>
      <sheetName val="M_E17"/>
      <sheetName val="M_N17"/>
      <sheetName val="Fr_Gn9"/>
      <sheetName val="M_E18"/>
      <sheetName val="M_N18"/>
      <sheetName val="Fr_Gn10"/>
      <sheetName val="M_E19"/>
      <sheetName val="M_N19"/>
      <sheetName val="Fr_Gn11"/>
      <sheetName val="M_E20"/>
      <sheetName val="M_N20"/>
      <sheetName val="Fr_Gn12"/>
      <sheetName val="M_E21"/>
      <sheetName val="M_N21"/>
      <sheetName val="Fr_Gn13"/>
      <sheetName val="M_E22"/>
      <sheetName val="M_N22"/>
      <sheetName val="Fr_Gn14"/>
      <sheetName val="M_E24"/>
      <sheetName val="M_N24"/>
      <sheetName val="Fr_Gn16"/>
      <sheetName val="M_E23"/>
      <sheetName val="M_N23"/>
      <sheetName val="Fr_Gn15"/>
      <sheetName val="M_E25"/>
      <sheetName val="M_N25"/>
      <sheetName val="Fr_Gn17"/>
      <sheetName val="M_E26"/>
      <sheetName val="M_N26"/>
      <sheetName val="Fr_Gn18"/>
      <sheetName val="M_E27"/>
      <sheetName val="M_N27"/>
      <sheetName val="Fr_Gn19"/>
      <sheetName val="M_E28"/>
      <sheetName val="M_N28"/>
      <sheetName val="Fr_Gn20"/>
      <sheetName val="M_E29"/>
      <sheetName val="M_N29"/>
      <sheetName val="Fr_Gn21"/>
      <sheetName val="M_E30"/>
      <sheetName val="M_N30"/>
      <sheetName val="Fr_Gn22"/>
      <sheetName val="Scoop"/>
      <sheetName val="sommaire commercialisation"/>
      <sheetName val="M_E31"/>
      <sheetName val="M_N31"/>
      <sheetName val="Fr_Gn23"/>
      <sheetName val="M_E32"/>
      <sheetName val="M_N32"/>
      <sheetName val="Fr_Gn24"/>
      <sheetName val="M_E33"/>
      <sheetName val="M_N33"/>
      <sheetName val="Fr_Gn25"/>
      <sheetName val="M_E36"/>
      <sheetName val="M_N36"/>
      <sheetName val="Fr_Gn28"/>
      <sheetName val="M_E34"/>
      <sheetName val="M_N34"/>
      <sheetName val="Fr_Gn26"/>
      <sheetName val="M_E35"/>
      <sheetName val="M_N35"/>
      <sheetName val="Fr_Gn27"/>
      <sheetName val="M_E37"/>
      <sheetName val="M_N37"/>
      <sheetName val="Fr_Gn29"/>
      <sheetName val="M_E38"/>
      <sheetName val="M_N38"/>
      <sheetName val="Fr_Gn30"/>
      <sheetName val="M_E40"/>
      <sheetName val="M_N40"/>
      <sheetName val="Fr_Gn32"/>
      <sheetName val="M_E39"/>
      <sheetName val="M_N39"/>
      <sheetName val="Fr_Gn31"/>
      <sheetName val="M_E41"/>
      <sheetName val="M_N41"/>
      <sheetName val="Fr_Gn33"/>
      <sheetName val="M_E42"/>
      <sheetName val="M_N42"/>
      <sheetName val="Fr_Gn34"/>
      <sheetName val="M_E44"/>
      <sheetName val="M_N44"/>
      <sheetName val="Fr_Gn36"/>
      <sheetName val="M_E43"/>
      <sheetName val="M_N43"/>
      <sheetName val="Fr_Gn35"/>
      <sheetName val="M_E45"/>
      <sheetName val="M_N45"/>
      <sheetName val="Fr_Gn37"/>
      <sheetName val="M_E47"/>
      <sheetName val="M_N47"/>
      <sheetName val="Fr_Gn39"/>
      <sheetName val="M_E46"/>
      <sheetName val="M_N46"/>
      <sheetName val="Fr_Gn38"/>
      <sheetName val="M_E48"/>
      <sheetName val="M_N48"/>
      <sheetName val="Fr_Gn40"/>
      <sheetName val="M_E49"/>
      <sheetName val="M_N49"/>
      <sheetName val="Fr_Gn41"/>
      <sheetName val="M_E50"/>
      <sheetName val="M_N50"/>
      <sheetName val="Fr_Gn42"/>
      <sheetName val="M_E51"/>
      <sheetName val="M_N51"/>
      <sheetName val="Fr_Gn43"/>
      <sheetName val="M_E52"/>
      <sheetName val="M_N52"/>
      <sheetName val="Fr_Gn44"/>
      <sheetName val="Load List2"/>
      <sheetName val="Load_List2"/>
      <sheetName val="sommaire_commercialisation"/>
      <sheetName val="Load_List21"/>
      <sheetName val="sommaire_commercialisation1"/>
      <sheetName val="Load_List25"/>
      <sheetName val="sommaire_commercialisation5"/>
      <sheetName val="Load_List22"/>
      <sheetName val="sommaire_commercialisation2"/>
      <sheetName val="Load_List24"/>
      <sheetName val="sommaire_commercialisation4"/>
      <sheetName val="Load_List23"/>
      <sheetName val="sommaire_commercialisation3"/>
      <sheetName val="M_E54"/>
      <sheetName val="M_N54"/>
      <sheetName val="Fr_Gn46"/>
      <sheetName val="M_E53"/>
      <sheetName val="M_N53"/>
      <sheetName val="Fr_Gn45"/>
      <sheetName val="M_E55"/>
      <sheetName val="M_N55"/>
      <sheetName val="Fr_Gn47"/>
      <sheetName val="M_E56"/>
      <sheetName val="M_N56"/>
      <sheetName val="Fr_Gn48"/>
      <sheetName val="M_E57"/>
      <sheetName val="M_N57"/>
      <sheetName val="Fr_Gn49"/>
      <sheetName val="M_E58"/>
      <sheetName val="M_N58"/>
      <sheetName val="Fr_Gn5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das Tks"/>
      <sheetName val="P-Verbal A"/>
      <sheetName val="PVA"/>
      <sheetName val="P-Verbal B"/>
      <sheetName val="PVB"/>
      <sheetName val="CALCULOS"/>
      <sheetName val="P-Verbal C"/>
      <sheetName val="PVC"/>
      <sheetName val="STOCK"/>
      <sheetName val="TABLE"/>
      <sheetName val="TFR-2"/>
      <sheetName val="TFR-2 Gph."/>
      <sheetName val="TFR-3"/>
      <sheetName val="TFR-3 Gph."/>
      <sheetName val="TFR-5"/>
      <sheetName val="TFR-5 Gph."/>
      <sheetName val="TFR-6"/>
      <sheetName val="TFR-6 Gph."/>
      <sheetName val="TFR-9"/>
      <sheetName val="TFR-9 Gph."/>
      <sheetName val="TFR-12"/>
      <sheetName val="TFR-12 Gph."/>
      <sheetName val="TFR-13"/>
      <sheetName val="TFR-13Gph."/>
      <sheetName val="TFR-14"/>
      <sheetName val="TFR-14Gph."/>
      <sheetName val="TIM-2"/>
      <sheetName val="TIM-2 Gph. "/>
      <sheetName val="BEQ-1"/>
      <sheetName val="BEQ-1 Gph."/>
      <sheetName val="TIM-1"/>
      <sheetName val="TIM-1 Gph."/>
      <sheetName val="MZC-1"/>
      <sheetName val="MZC-1 Gph."/>
      <sheetName val="MENS"/>
      <sheetName val="Summary  "/>
      <sheetName val="ACUMULES"/>
      <sheetName val="Daily Prod."/>
      <sheetName val="Daily Prod. TFR "/>
      <sheetName val="Daily Prod.  TIM BEQ"/>
      <sheetName val=" Cumulative Prod."/>
      <sheetName val="Cumulative Prod. TFR"/>
      <sheetName val="Cumulative Prod. TIM BEQ"/>
      <sheetName val="Prod. Year 06"/>
      <sheetName val="Prod. Year TFR 06"/>
      <sheetName val="Prod. Year TIM BEQ 06"/>
      <sheetName val="Daily Export "/>
      <sheetName val="Cumul. Export Month"/>
      <sheetName val="Export Year 06"/>
      <sheetName val="ANNUEL-MADRID 06"/>
      <sheetName val="Bilan liquides ANNUEL 06"/>
      <sheetName val="TFRW-1 ANNUEL 06"/>
      <sheetName val="ENERGIE ANNUELLE 06"/>
      <sheetName val="Bilan liquides"/>
      <sheetName val="TFRW-1"/>
      <sheetName val="Mensual-MADRID"/>
      <sheetName val="Mensual-ARGEL"/>
      <sheetName val="EXPEDIT."/>
      <sheetName val="MADRID"/>
      <sheetName val="ARGEL  "/>
      <sheetName val="ENERGIE"/>
      <sheetName val="ENERGIE FIN."/>
      <sheetName val="Moyenne  Prod."/>
      <sheetName val="Ecarts Prod."/>
      <sheetName val="Suivi Mensuel gisement seul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  <cell r="T1">
            <v>20</v>
          </cell>
          <cell r="U1">
            <v>21</v>
          </cell>
          <cell r="V1">
            <v>22</v>
          </cell>
          <cell r="W1">
            <v>23</v>
          </cell>
          <cell r="X1">
            <v>24</v>
          </cell>
          <cell r="Y1">
            <v>25</v>
          </cell>
          <cell r="Z1">
            <v>26</v>
          </cell>
        </row>
        <row r="2">
          <cell r="A2" t="str">
            <v>Report</v>
          </cell>
          <cell r="B2" t="str">
            <v>Date</v>
          </cell>
          <cell r="C2" t="str">
            <v>STOCK DEBUT</v>
          </cell>
          <cell r="F2" t="str">
            <v>PRODUCTION</v>
          </cell>
          <cell r="I2" t="str">
            <v>EXPEDITION</v>
          </cell>
          <cell r="L2" t="str">
            <v>STOCK FINAL</v>
          </cell>
          <cell r="O2" t="str">
            <v>PRODUCTION MENSUELLE</v>
          </cell>
          <cell r="R2" t="str">
            <v>PRODUCTION TOTALE</v>
          </cell>
          <cell r="U2" t="str">
            <v>EXPEDITION MENSUELLE</v>
          </cell>
          <cell r="X2" t="str">
            <v>EXPEDITION TOTALE</v>
          </cell>
        </row>
        <row r="3">
          <cell r="A3" t="str">
            <v>No.</v>
          </cell>
          <cell r="C3" t="str">
            <v>STM3</v>
          </cell>
          <cell r="D3" t="str">
            <v>BBLS</v>
          </cell>
          <cell r="E3" t="str">
            <v>TNS</v>
          </cell>
          <cell r="F3" t="str">
            <v>STM3</v>
          </cell>
          <cell r="G3" t="str">
            <v>BBLS</v>
          </cell>
          <cell r="H3" t="str">
            <v>TNS</v>
          </cell>
          <cell r="I3" t="str">
            <v>STM3</v>
          </cell>
          <cell r="J3" t="str">
            <v>BBLS</v>
          </cell>
          <cell r="K3" t="str">
            <v>TNS</v>
          </cell>
          <cell r="L3" t="str">
            <v>STM3</v>
          </cell>
          <cell r="M3" t="str">
            <v>BBLS</v>
          </cell>
          <cell r="N3" t="str">
            <v>TNS</v>
          </cell>
          <cell r="O3" t="str">
            <v>STM3</v>
          </cell>
          <cell r="P3" t="str">
            <v>BBLS</v>
          </cell>
          <cell r="Q3" t="str">
            <v>TNS</v>
          </cell>
          <cell r="R3" t="str">
            <v>STM3</v>
          </cell>
          <cell r="S3" t="str">
            <v>BBLS</v>
          </cell>
          <cell r="T3" t="str">
            <v>TNS</v>
          </cell>
          <cell r="U3" t="str">
            <v>STM3</v>
          </cell>
          <cell r="V3" t="str">
            <v>BBLS</v>
          </cell>
          <cell r="W3" t="str">
            <v>TNS</v>
          </cell>
          <cell r="X3" t="str">
            <v>STM3</v>
          </cell>
          <cell r="Y3" t="str">
            <v>BBLS</v>
          </cell>
          <cell r="Z3" t="str">
            <v>TNS</v>
          </cell>
        </row>
        <row r="4">
          <cell r="A4">
            <v>2957</v>
          </cell>
          <cell r="B4">
            <v>39082</v>
          </cell>
          <cell r="C4">
            <v>2430.1370000000002</v>
          </cell>
          <cell r="D4">
            <v>15285</v>
          </cell>
          <cell r="E4">
            <v>2024.3040000000001</v>
          </cell>
          <cell r="F4">
            <v>798.0559999999997</v>
          </cell>
          <cell r="G4">
            <v>5019</v>
          </cell>
          <cell r="H4">
            <v>664.67200000000003</v>
          </cell>
          <cell r="I4">
            <v>821.05100000000004</v>
          </cell>
          <cell r="J4">
            <v>5164</v>
          </cell>
          <cell r="K4">
            <v>683.827</v>
          </cell>
          <cell r="L4">
            <v>2407.1419999999998</v>
          </cell>
          <cell r="M4">
            <v>15140</v>
          </cell>
          <cell r="N4">
            <v>2005.1490000000001</v>
          </cell>
          <cell r="O4">
            <v>24419.547999999999</v>
          </cell>
          <cell r="P4">
            <v>153592</v>
          </cell>
          <cell r="Q4">
            <v>20330.787</v>
          </cell>
          <cell r="R4">
            <v>2864401.7529999996</v>
          </cell>
          <cell r="S4">
            <v>18012816</v>
          </cell>
          <cell r="T4">
            <v>2384804.5369999991</v>
          </cell>
          <cell r="U4">
            <v>24350.011000000002</v>
          </cell>
          <cell r="V4">
            <v>153155</v>
          </cell>
          <cell r="W4">
            <v>20272.863000000001</v>
          </cell>
          <cell r="X4">
            <v>2858588.4960000031</v>
          </cell>
          <cell r="Y4">
            <v>17980067</v>
          </cell>
          <cell r="Z4">
            <v>2379951.9370000018</v>
          </cell>
        </row>
        <row r="5">
          <cell r="A5">
            <v>2958</v>
          </cell>
          <cell r="B5">
            <v>39083</v>
          </cell>
          <cell r="C5">
            <v>2407.1419999999998</v>
          </cell>
          <cell r="D5">
            <v>15140</v>
          </cell>
          <cell r="E5">
            <v>2005.1490000000001</v>
          </cell>
          <cell r="F5">
            <v>787.88499999999999</v>
          </cell>
          <cell r="G5">
            <v>4956</v>
          </cell>
          <cell r="H5">
            <v>656.12299999999982</v>
          </cell>
          <cell r="I5">
            <v>794.95399999999995</v>
          </cell>
          <cell r="J5">
            <v>5000</v>
          </cell>
          <cell r="K5">
            <v>662.01099999999997</v>
          </cell>
          <cell r="L5">
            <v>2400.0729999999999</v>
          </cell>
          <cell r="M5">
            <v>15096</v>
          </cell>
          <cell r="N5">
            <v>1999.261</v>
          </cell>
          <cell r="O5">
            <v>787.88499999999999</v>
          </cell>
          <cell r="P5">
            <v>4956</v>
          </cell>
          <cell r="Q5">
            <v>656.12299999999982</v>
          </cell>
          <cell r="R5">
            <v>2865189.6379999993</v>
          </cell>
          <cell r="S5">
            <v>18017772</v>
          </cell>
          <cell r="T5">
            <v>2385460.6599999992</v>
          </cell>
          <cell r="U5">
            <v>794.95399999999995</v>
          </cell>
          <cell r="V5">
            <v>5000</v>
          </cell>
          <cell r="W5">
            <v>662.01099999999997</v>
          </cell>
          <cell r="X5">
            <v>2859383.450000003</v>
          </cell>
          <cell r="Y5">
            <v>17985067</v>
          </cell>
          <cell r="Z5">
            <v>2380613.9480000017</v>
          </cell>
        </row>
        <row r="6">
          <cell r="A6">
            <v>2959</v>
          </cell>
          <cell r="B6">
            <v>39084</v>
          </cell>
          <cell r="C6">
            <v>2400.0729999999999</v>
          </cell>
          <cell r="D6">
            <v>15096</v>
          </cell>
          <cell r="E6">
            <v>1999.261</v>
          </cell>
          <cell r="F6" t="str">
            <v>0</v>
          </cell>
          <cell r="G6" t="str">
            <v>0</v>
          </cell>
          <cell r="H6" t="str">
            <v>0</v>
          </cell>
          <cell r="I6">
            <v>0</v>
          </cell>
          <cell r="J6">
            <v>0</v>
          </cell>
          <cell r="K6">
            <v>0</v>
          </cell>
          <cell r="L6">
            <v>22.443999999999999</v>
          </cell>
          <cell r="M6">
            <v>142</v>
          </cell>
          <cell r="N6">
            <v>18.696000000000002</v>
          </cell>
          <cell r="O6">
            <v>787.88499999999999</v>
          </cell>
          <cell r="P6">
            <v>4956</v>
          </cell>
          <cell r="Q6">
            <v>656.12299999999982</v>
          </cell>
          <cell r="R6">
            <v>2865189.6379999993</v>
          </cell>
          <cell r="S6">
            <v>18017772</v>
          </cell>
          <cell r="T6">
            <v>2385460.6599999992</v>
          </cell>
          <cell r="U6">
            <v>794.95399999999995</v>
          </cell>
          <cell r="V6">
            <v>5000</v>
          </cell>
          <cell r="W6">
            <v>662.01099999999997</v>
          </cell>
          <cell r="X6">
            <v>2859383.450000003</v>
          </cell>
          <cell r="Y6">
            <v>17985067</v>
          </cell>
          <cell r="Z6">
            <v>2380613.9480000017</v>
          </cell>
        </row>
        <row r="7">
          <cell r="A7">
            <v>2960</v>
          </cell>
          <cell r="B7">
            <v>39085</v>
          </cell>
          <cell r="C7">
            <v>22.443999999999999</v>
          </cell>
          <cell r="D7">
            <v>142</v>
          </cell>
          <cell r="E7">
            <v>18.696000000000002</v>
          </cell>
          <cell r="F7" t="str">
            <v>0</v>
          </cell>
          <cell r="G7" t="str">
            <v>0</v>
          </cell>
          <cell r="H7" t="str">
            <v>0</v>
          </cell>
          <cell r="I7">
            <v>0</v>
          </cell>
          <cell r="J7">
            <v>0</v>
          </cell>
          <cell r="K7">
            <v>0</v>
          </cell>
          <cell r="L7">
            <v>22.443999999999999</v>
          </cell>
          <cell r="M7">
            <v>142</v>
          </cell>
          <cell r="N7">
            <v>18.696000000000002</v>
          </cell>
          <cell r="O7">
            <v>787.88499999999999</v>
          </cell>
          <cell r="P7">
            <v>4956</v>
          </cell>
          <cell r="Q7">
            <v>656.12299999999982</v>
          </cell>
          <cell r="R7">
            <v>2865189.6379999993</v>
          </cell>
          <cell r="S7">
            <v>18017772</v>
          </cell>
          <cell r="T7">
            <v>2385460.6599999992</v>
          </cell>
          <cell r="U7">
            <v>794.95399999999995</v>
          </cell>
          <cell r="V7">
            <v>5000</v>
          </cell>
          <cell r="W7">
            <v>662.01099999999997</v>
          </cell>
          <cell r="X7">
            <v>2859383.450000003</v>
          </cell>
          <cell r="Y7">
            <v>17985067</v>
          </cell>
          <cell r="Z7">
            <v>2380613.9480000017</v>
          </cell>
        </row>
        <row r="8">
          <cell r="A8">
            <v>2961</v>
          </cell>
          <cell r="B8">
            <v>39086</v>
          </cell>
          <cell r="C8">
            <v>22.443999999999999</v>
          </cell>
          <cell r="D8">
            <v>142</v>
          </cell>
          <cell r="E8">
            <v>18.696000000000002</v>
          </cell>
          <cell r="F8" t="str">
            <v>0</v>
          </cell>
          <cell r="G8" t="str">
            <v>0</v>
          </cell>
          <cell r="H8" t="str">
            <v>0</v>
          </cell>
          <cell r="I8">
            <v>0</v>
          </cell>
          <cell r="J8">
            <v>0</v>
          </cell>
          <cell r="K8">
            <v>0</v>
          </cell>
          <cell r="L8">
            <v>22.443999999999999</v>
          </cell>
          <cell r="M8">
            <v>142</v>
          </cell>
          <cell r="N8">
            <v>18.696000000000002</v>
          </cell>
          <cell r="O8">
            <v>787.88499999999999</v>
          </cell>
          <cell r="P8">
            <v>4956</v>
          </cell>
          <cell r="Q8">
            <v>656.12299999999982</v>
          </cell>
          <cell r="R8">
            <v>2865189.6379999993</v>
          </cell>
          <cell r="S8">
            <v>18017772</v>
          </cell>
          <cell r="T8">
            <v>2385460.6599999992</v>
          </cell>
          <cell r="U8">
            <v>794.95399999999995</v>
          </cell>
          <cell r="V8">
            <v>5000</v>
          </cell>
          <cell r="W8">
            <v>662.01099999999997</v>
          </cell>
          <cell r="X8">
            <v>2859383.450000003</v>
          </cell>
          <cell r="Y8">
            <v>17985067</v>
          </cell>
          <cell r="Z8">
            <v>2380613.9480000017</v>
          </cell>
        </row>
        <row r="9">
          <cell r="A9">
            <v>2962</v>
          </cell>
          <cell r="B9">
            <v>39087</v>
          </cell>
          <cell r="C9">
            <v>22.443999999999999</v>
          </cell>
          <cell r="D9">
            <v>142</v>
          </cell>
          <cell r="E9">
            <v>18.696000000000002</v>
          </cell>
          <cell r="F9" t="str">
            <v>0</v>
          </cell>
          <cell r="G9" t="str">
            <v>0</v>
          </cell>
          <cell r="H9" t="str">
            <v>0</v>
          </cell>
          <cell r="I9">
            <v>0</v>
          </cell>
          <cell r="J9">
            <v>0</v>
          </cell>
          <cell r="K9">
            <v>0</v>
          </cell>
          <cell r="L9">
            <v>22.443999999999999</v>
          </cell>
          <cell r="M9">
            <v>142</v>
          </cell>
          <cell r="N9">
            <v>18.696000000000002</v>
          </cell>
          <cell r="O9">
            <v>787.88499999999999</v>
          </cell>
          <cell r="P9">
            <v>4956</v>
          </cell>
          <cell r="Q9">
            <v>656.12299999999982</v>
          </cell>
          <cell r="R9">
            <v>2865189.6379999993</v>
          </cell>
          <cell r="S9">
            <v>18017772</v>
          </cell>
          <cell r="T9">
            <v>2385460.6599999992</v>
          </cell>
          <cell r="U9">
            <v>794.95399999999995</v>
          </cell>
          <cell r="V9">
            <v>5000</v>
          </cell>
          <cell r="W9">
            <v>662.01099999999997</v>
          </cell>
          <cell r="X9">
            <v>2859383.450000003</v>
          </cell>
          <cell r="Y9">
            <v>17985067</v>
          </cell>
          <cell r="Z9">
            <v>2380613.9480000017</v>
          </cell>
        </row>
        <row r="10">
          <cell r="A10">
            <v>2963</v>
          </cell>
          <cell r="B10">
            <v>39088</v>
          </cell>
          <cell r="C10">
            <v>22.443999999999999</v>
          </cell>
          <cell r="D10">
            <v>142</v>
          </cell>
          <cell r="E10">
            <v>18.696000000000002</v>
          </cell>
          <cell r="F10" t="str">
            <v>0</v>
          </cell>
          <cell r="G10" t="str">
            <v>0</v>
          </cell>
          <cell r="H10" t="str">
            <v>0</v>
          </cell>
          <cell r="I10">
            <v>0</v>
          </cell>
          <cell r="J10">
            <v>0</v>
          </cell>
          <cell r="K10">
            <v>0</v>
          </cell>
          <cell r="L10">
            <v>22.443999999999999</v>
          </cell>
          <cell r="M10">
            <v>142</v>
          </cell>
          <cell r="N10">
            <v>18.696000000000002</v>
          </cell>
          <cell r="O10">
            <v>787.88499999999999</v>
          </cell>
          <cell r="P10">
            <v>4956</v>
          </cell>
          <cell r="Q10">
            <v>656.12299999999982</v>
          </cell>
          <cell r="R10">
            <v>2865189.6379999993</v>
          </cell>
          <cell r="S10">
            <v>18017772</v>
          </cell>
          <cell r="T10">
            <v>2385460.6599999992</v>
          </cell>
          <cell r="U10">
            <v>794.95399999999995</v>
          </cell>
          <cell r="V10">
            <v>5000</v>
          </cell>
          <cell r="W10">
            <v>662.01099999999997</v>
          </cell>
          <cell r="X10">
            <v>2859383.450000003</v>
          </cell>
          <cell r="Y10">
            <v>17985067</v>
          </cell>
          <cell r="Z10">
            <v>2380613.9480000017</v>
          </cell>
        </row>
        <row r="11">
          <cell r="A11">
            <v>2964</v>
          </cell>
          <cell r="B11">
            <v>39089</v>
          </cell>
          <cell r="C11">
            <v>22.443999999999999</v>
          </cell>
          <cell r="D11">
            <v>142</v>
          </cell>
          <cell r="E11">
            <v>18.696000000000002</v>
          </cell>
          <cell r="F11" t="str">
            <v>0</v>
          </cell>
          <cell r="G11" t="str">
            <v>0</v>
          </cell>
          <cell r="H11" t="str">
            <v>0</v>
          </cell>
          <cell r="I11">
            <v>0</v>
          </cell>
          <cell r="J11">
            <v>0</v>
          </cell>
          <cell r="K11">
            <v>0</v>
          </cell>
          <cell r="L11">
            <v>22.443999999999999</v>
          </cell>
          <cell r="M11">
            <v>142</v>
          </cell>
          <cell r="N11">
            <v>18.696000000000002</v>
          </cell>
          <cell r="O11">
            <v>787.88499999999999</v>
          </cell>
          <cell r="P11">
            <v>4956</v>
          </cell>
          <cell r="Q11">
            <v>656.12299999999982</v>
          </cell>
          <cell r="R11">
            <v>2865189.6379999993</v>
          </cell>
          <cell r="S11">
            <v>18017772</v>
          </cell>
          <cell r="T11">
            <v>2385460.6599999992</v>
          </cell>
          <cell r="U11">
            <v>794.95399999999995</v>
          </cell>
          <cell r="V11">
            <v>5000</v>
          </cell>
          <cell r="W11">
            <v>662.01099999999997</v>
          </cell>
          <cell r="X11">
            <v>2859383.450000003</v>
          </cell>
          <cell r="Y11">
            <v>17985067</v>
          </cell>
          <cell r="Z11">
            <v>2380613.9480000017</v>
          </cell>
        </row>
        <row r="12">
          <cell r="A12">
            <v>2965</v>
          </cell>
          <cell r="B12">
            <v>39090</v>
          </cell>
          <cell r="C12">
            <v>22.443999999999999</v>
          </cell>
          <cell r="D12">
            <v>142</v>
          </cell>
          <cell r="E12">
            <v>18.696000000000002</v>
          </cell>
          <cell r="F12" t="str">
            <v>0</v>
          </cell>
          <cell r="G12" t="str">
            <v>0</v>
          </cell>
          <cell r="H12" t="str">
            <v>0</v>
          </cell>
          <cell r="I12">
            <v>0</v>
          </cell>
          <cell r="J12">
            <v>0</v>
          </cell>
          <cell r="K12">
            <v>0</v>
          </cell>
          <cell r="L12">
            <v>22.443999999999999</v>
          </cell>
          <cell r="M12">
            <v>142</v>
          </cell>
          <cell r="N12">
            <v>18.696000000000002</v>
          </cell>
          <cell r="O12">
            <v>787.88499999999999</v>
          </cell>
          <cell r="P12">
            <v>4956</v>
          </cell>
          <cell r="Q12">
            <v>656.12299999999982</v>
          </cell>
          <cell r="R12">
            <v>2865189.6379999993</v>
          </cell>
          <cell r="S12">
            <v>18017772</v>
          </cell>
          <cell r="T12">
            <v>2385460.6599999992</v>
          </cell>
          <cell r="U12">
            <v>794.95399999999995</v>
          </cell>
          <cell r="V12">
            <v>5000</v>
          </cell>
          <cell r="W12">
            <v>662.01099999999997</v>
          </cell>
          <cell r="X12">
            <v>2859383.450000003</v>
          </cell>
          <cell r="Y12">
            <v>17985067</v>
          </cell>
          <cell r="Z12">
            <v>2380613.9480000017</v>
          </cell>
        </row>
        <row r="13">
          <cell r="A13">
            <v>2966</v>
          </cell>
          <cell r="B13">
            <v>39091</v>
          </cell>
          <cell r="C13">
            <v>22.443999999999999</v>
          </cell>
          <cell r="D13">
            <v>142</v>
          </cell>
          <cell r="E13">
            <v>18.696000000000002</v>
          </cell>
          <cell r="F13" t="str">
            <v>0</v>
          </cell>
          <cell r="G13" t="str">
            <v>0</v>
          </cell>
          <cell r="H13" t="str">
            <v>0</v>
          </cell>
          <cell r="I13">
            <v>0</v>
          </cell>
          <cell r="J13">
            <v>0</v>
          </cell>
          <cell r="K13">
            <v>0</v>
          </cell>
          <cell r="L13">
            <v>22.443999999999999</v>
          </cell>
          <cell r="M13">
            <v>142</v>
          </cell>
          <cell r="N13">
            <v>18.696000000000002</v>
          </cell>
          <cell r="O13">
            <v>787.88499999999999</v>
          </cell>
          <cell r="P13">
            <v>4956</v>
          </cell>
          <cell r="Q13">
            <v>656.12299999999982</v>
          </cell>
          <cell r="R13">
            <v>2865189.6379999993</v>
          </cell>
          <cell r="S13">
            <v>18017772</v>
          </cell>
          <cell r="T13">
            <v>2385460.6599999992</v>
          </cell>
          <cell r="U13">
            <v>794.95399999999995</v>
          </cell>
          <cell r="V13">
            <v>5000</v>
          </cell>
          <cell r="W13">
            <v>662.01099999999997</v>
          </cell>
          <cell r="X13">
            <v>2859383.450000003</v>
          </cell>
          <cell r="Y13">
            <v>17985067</v>
          </cell>
          <cell r="Z13">
            <v>2380613.9480000017</v>
          </cell>
        </row>
        <row r="14">
          <cell r="A14">
            <v>2967</v>
          </cell>
          <cell r="B14">
            <v>39092</v>
          </cell>
          <cell r="C14">
            <v>22.443999999999999</v>
          </cell>
          <cell r="D14">
            <v>142</v>
          </cell>
          <cell r="E14">
            <v>18.696000000000002</v>
          </cell>
          <cell r="F14" t="str">
            <v>0</v>
          </cell>
          <cell r="G14" t="str">
            <v>0</v>
          </cell>
          <cell r="H14" t="str">
            <v>0</v>
          </cell>
          <cell r="I14">
            <v>0</v>
          </cell>
          <cell r="J14">
            <v>0</v>
          </cell>
          <cell r="K14">
            <v>0</v>
          </cell>
          <cell r="L14">
            <v>22.443999999999999</v>
          </cell>
          <cell r="M14">
            <v>142</v>
          </cell>
          <cell r="N14">
            <v>18.696000000000002</v>
          </cell>
          <cell r="O14">
            <v>787.88499999999999</v>
          </cell>
          <cell r="P14">
            <v>4956</v>
          </cell>
          <cell r="Q14">
            <v>656.12299999999982</v>
          </cell>
          <cell r="R14">
            <v>2865189.6379999993</v>
          </cell>
          <cell r="S14">
            <v>18017772</v>
          </cell>
          <cell r="T14">
            <v>2385460.6599999992</v>
          </cell>
          <cell r="U14">
            <v>794.95399999999995</v>
          </cell>
          <cell r="V14">
            <v>5000</v>
          </cell>
          <cell r="W14">
            <v>662.01099999999997</v>
          </cell>
          <cell r="X14">
            <v>2859383.450000003</v>
          </cell>
          <cell r="Y14">
            <v>17985067</v>
          </cell>
          <cell r="Z14">
            <v>2380613.9480000017</v>
          </cell>
        </row>
        <row r="15">
          <cell r="A15">
            <v>2968</v>
          </cell>
          <cell r="B15">
            <v>39093</v>
          </cell>
          <cell r="C15">
            <v>22.443999999999999</v>
          </cell>
          <cell r="D15">
            <v>142</v>
          </cell>
          <cell r="E15">
            <v>18.696000000000002</v>
          </cell>
          <cell r="F15" t="str">
            <v>0</v>
          </cell>
          <cell r="G15" t="str">
            <v>0</v>
          </cell>
          <cell r="H15" t="str">
            <v>0</v>
          </cell>
          <cell r="I15">
            <v>0</v>
          </cell>
          <cell r="J15">
            <v>0</v>
          </cell>
          <cell r="K15">
            <v>0</v>
          </cell>
          <cell r="L15">
            <v>22.443999999999999</v>
          </cell>
          <cell r="M15">
            <v>142</v>
          </cell>
          <cell r="N15">
            <v>18.696000000000002</v>
          </cell>
          <cell r="O15">
            <v>787.88499999999999</v>
          </cell>
          <cell r="P15">
            <v>4956</v>
          </cell>
          <cell r="Q15">
            <v>656.12299999999982</v>
          </cell>
          <cell r="R15">
            <v>2865189.6379999993</v>
          </cell>
          <cell r="S15">
            <v>18017772</v>
          </cell>
          <cell r="T15">
            <v>2385460.6599999992</v>
          </cell>
          <cell r="U15">
            <v>794.95399999999995</v>
          </cell>
          <cell r="V15">
            <v>5000</v>
          </cell>
          <cell r="W15">
            <v>662.01099999999997</v>
          </cell>
          <cell r="X15">
            <v>2859383.450000003</v>
          </cell>
          <cell r="Y15">
            <v>17985067</v>
          </cell>
          <cell r="Z15">
            <v>2380613.9480000017</v>
          </cell>
        </row>
        <row r="16">
          <cell r="A16">
            <v>2969</v>
          </cell>
          <cell r="B16">
            <v>39094</v>
          </cell>
          <cell r="C16">
            <v>22.443999999999999</v>
          </cell>
          <cell r="D16">
            <v>142</v>
          </cell>
          <cell r="E16">
            <v>18.696000000000002</v>
          </cell>
          <cell r="F16" t="str">
            <v>0</v>
          </cell>
          <cell r="G16" t="str">
            <v>0</v>
          </cell>
          <cell r="H16" t="str">
            <v>0</v>
          </cell>
          <cell r="I16">
            <v>0</v>
          </cell>
          <cell r="J16">
            <v>0</v>
          </cell>
          <cell r="K16">
            <v>0</v>
          </cell>
          <cell r="L16">
            <v>22.443999999999999</v>
          </cell>
          <cell r="M16">
            <v>142</v>
          </cell>
          <cell r="N16">
            <v>18.696000000000002</v>
          </cell>
          <cell r="O16">
            <v>787.88499999999999</v>
          </cell>
          <cell r="P16">
            <v>4956</v>
          </cell>
          <cell r="Q16">
            <v>656.12299999999982</v>
          </cell>
          <cell r="R16">
            <v>2865189.6379999993</v>
          </cell>
          <cell r="S16">
            <v>18017772</v>
          </cell>
          <cell r="T16">
            <v>2385460.6599999992</v>
          </cell>
          <cell r="U16">
            <v>794.95399999999995</v>
          </cell>
          <cell r="V16">
            <v>5000</v>
          </cell>
          <cell r="W16">
            <v>662.01099999999997</v>
          </cell>
          <cell r="X16">
            <v>2859383.450000003</v>
          </cell>
          <cell r="Y16">
            <v>17985067</v>
          </cell>
          <cell r="Z16">
            <v>2380613.9480000017</v>
          </cell>
        </row>
        <row r="17">
          <cell r="A17">
            <v>2970</v>
          </cell>
          <cell r="B17">
            <v>39095</v>
          </cell>
          <cell r="C17">
            <v>22.443999999999999</v>
          </cell>
          <cell r="D17">
            <v>142</v>
          </cell>
          <cell r="E17">
            <v>18.696000000000002</v>
          </cell>
          <cell r="F17" t="str">
            <v>0</v>
          </cell>
          <cell r="G17" t="str">
            <v>0</v>
          </cell>
          <cell r="H17" t="str">
            <v>0</v>
          </cell>
          <cell r="I17">
            <v>0</v>
          </cell>
          <cell r="J17">
            <v>0</v>
          </cell>
          <cell r="K17">
            <v>0</v>
          </cell>
          <cell r="L17">
            <v>22.443999999999999</v>
          </cell>
          <cell r="M17">
            <v>142</v>
          </cell>
          <cell r="N17">
            <v>18.696000000000002</v>
          </cell>
          <cell r="O17">
            <v>787.88499999999999</v>
          </cell>
          <cell r="P17">
            <v>4956</v>
          </cell>
          <cell r="Q17">
            <v>656.12299999999982</v>
          </cell>
          <cell r="R17">
            <v>2865189.6379999993</v>
          </cell>
          <cell r="S17">
            <v>18017772</v>
          </cell>
          <cell r="T17">
            <v>2385460.6599999992</v>
          </cell>
          <cell r="U17">
            <v>794.95399999999995</v>
          </cell>
          <cell r="V17">
            <v>5000</v>
          </cell>
          <cell r="W17">
            <v>662.01099999999997</v>
          </cell>
          <cell r="X17">
            <v>2859383.450000003</v>
          </cell>
          <cell r="Y17">
            <v>17985067</v>
          </cell>
          <cell r="Z17">
            <v>2380613.9480000017</v>
          </cell>
        </row>
        <row r="18">
          <cell r="A18">
            <v>2971</v>
          </cell>
          <cell r="B18">
            <v>39096</v>
          </cell>
          <cell r="C18">
            <v>22.443999999999999</v>
          </cell>
          <cell r="D18">
            <v>142</v>
          </cell>
          <cell r="E18">
            <v>18.696000000000002</v>
          </cell>
          <cell r="F18" t="str">
            <v>0</v>
          </cell>
          <cell r="G18" t="str">
            <v>0</v>
          </cell>
          <cell r="H18" t="str">
            <v>0</v>
          </cell>
          <cell r="I18">
            <v>0</v>
          </cell>
          <cell r="J18">
            <v>0</v>
          </cell>
          <cell r="K18">
            <v>0</v>
          </cell>
          <cell r="L18">
            <v>22.443999999999999</v>
          </cell>
          <cell r="M18">
            <v>142</v>
          </cell>
          <cell r="N18">
            <v>18.696000000000002</v>
          </cell>
          <cell r="O18">
            <v>787.88499999999999</v>
          </cell>
          <cell r="P18">
            <v>4956</v>
          </cell>
          <cell r="Q18">
            <v>656.12299999999982</v>
          </cell>
          <cell r="R18">
            <v>2865189.6379999993</v>
          </cell>
          <cell r="S18">
            <v>18017772</v>
          </cell>
          <cell r="T18">
            <v>2385460.6599999992</v>
          </cell>
          <cell r="U18">
            <v>794.95399999999995</v>
          </cell>
          <cell r="V18">
            <v>5000</v>
          </cell>
          <cell r="W18">
            <v>662.01099999999997</v>
          </cell>
          <cell r="X18">
            <v>2859383.450000003</v>
          </cell>
          <cell r="Y18">
            <v>17985067</v>
          </cell>
          <cell r="Z18">
            <v>2380613.9480000017</v>
          </cell>
        </row>
        <row r="19">
          <cell r="A19">
            <v>2972</v>
          </cell>
          <cell r="B19">
            <v>39097</v>
          </cell>
          <cell r="C19">
            <v>22.443999999999999</v>
          </cell>
          <cell r="D19">
            <v>142</v>
          </cell>
          <cell r="E19">
            <v>18.696000000000002</v>
          </cell>
          <cell r="F19" t="str">
            <v>0</v>
          </cell>
          <cell r="G19" t="str">
            <v>0</v>
          </cell>
          <cell r="H19" t="str">
            <v>0</v>
          </cell>
          <cell r="I19">
            <v>0</v>
          </cell>
          <cell r="J19">
            <v>0</v>
          </cell>
          <cell r="K19">
            <v>0</v>
          </cell>
          <cell r="L19">
            <v>22.443999999999999</v>
          </cell>
          <cell r="M19">
            <v>142</v>
          </cell>
          <cell r="N19">
            <v>18.696000000000002</v>
          </cell>
          <cell r="O19">
            <v>787.88499999999999</v>
          </cell>
          <cell r="P19">
            <v>4956</v>
          </cell>
          <cell r="Q19">
            <v>656.12299999999982</v>
          </cell>
          <cell r="R19">
            <v>2865189.6379999993</v>
          </cell>
          <cell r="S19">
            <v>18017772</v>
          </cell>
          <cell r="T19">
            <v>2385460.6599999992</v>
          </cell>
          <cell r="U19">
            <v>794.95399999999995</v>
          </cell>
          <cell r="V19">
            <v>5000</v>
          </cell>
          <cell r="W19">
            <v>662.01099999999997</v>
          </cell>
          <cell r="X19">
            <v>2859383.450000003</v>
          </cell>
          <cell r="Y19">
            <v>17985067</v>
          </cell>
          <cell r="Z19">
            <v>2380613.9480000017</v>
          </cell>
        </row>
        <row r="20">
          <cell r="A20">
            <v>2973</v>
          </cell>
          <cell r="B20">
            <v>39098</v>
          </cell>
          <cell r="C20">
            <v>22.443999999999999</v>
          </cell>
          <cell r="D20">
            <v>142</v>
          </cell>
          <cell r="E20">
            <v>18.696000000000002</v>
          </cell>
          <cell r="F20" t="str">
            <v>0</v>
          </cell>
          <cell r="G20" t="str">
            <v>0</v>
          </cell>
          <cell r="H20" t="str">
            <v>0</v>
          </cell>
          <cell r="I20">
            <v>0</v>
          </cell>
          <cell r="J20">
            <v>0</v>
          </cell>
          <cell r="K20">
            <v>0</v>
          </cell>
          <cell r="L20">
            <v>22.443999999999999</v>
          </cell>
          <cell r="M20">
            <v>142</v>
          </cell>
          <cell r="N20">
            <v>18.696000000000002</v>
          </cell>
          <cell r="O20">
            <v>787.88499999999999</v>
          </cell>
          <cell r="P20">
            <v>4956</v>
          </cell>
          <cell r="Q20">
            <v>656.12299999999982</v>
          </cell>
          <cell r="R20">
            <v>2865189.6379999993</v>
          </cell>
          <cell r="S20">
            <v>18017772</v>
          </cell>
          <cell r="T20">
            <v>2385460.6599999992</v>
          </cell>
          <cell r="U20">
            <v>794.95399999999995</v>
          </cell>
          <cell r="V20">
            <v>5000</v>
          </cell>
          <cell r="W20">
            <v>662.01099999999997</v>
          </cell>
          <cell r="X20">
            <v>2859383.450000003</v>
          </cell>
          <cell r="Y20">
            <v>17985067</v>
          </cell>
          <cell r="Z20">
            <v>2380613.9480000017</v>
          </cell>
        </row>
        <row r="21">
          <cell r="A21">
            <v>2974</v>
          </cell>
          <cell r="B21">
            <v>39099</v>
          </cell>
          <cell r="C21">
            <v>22.443999999999999</v>
          </cell>
          <cell r="D21">
            <v>142</v>
          </cell>
          <cell r="E21">
            <v>18.696000000000002</v>
          </cell>
          <cell r="F21" t="str">
            <v>0</v>
          </cell>
          <cell r="G21" t="str">
            <v>0</v>
          </cell>
          <cell r="H21" t="str">
            <v>0</v>
          </cell>
          <cell r="I21">
            <v>0</v>
          </cell>
          <cell r="J21">
            <v>0</v>
          </cell>
          <cell r="K21">
            <v>0</v>
          </cell>
          <cell r="L21">
            <v>22.443999999999999</v>
          </cell>
          <cell r="M21">
            <v>142</v>
          </cell>
          <cell r="N21">
            <v>18.696000000000002</v>
          </cell>
          <cell r="O21">
            <v>787.88499999999999</v>
          </cell>
          <cell r="P21">
            <v>4956</v>
          </cell>
          <cell r="Q21">
            <v>656.12299999999982</v>
          </cell>
          <cell r="R21">
            <v>2865189.6379999993</v>
          </cell>
          <cell r="S21">
            <v>18017772</v>
          </cell>
          <cell r="T21">
            <v>2385460.6599999992</v>
          </cell>
          <cell r="U21">
            <v>794.95399999999995</v>
          </cell>
          <cell r="V21">
            <v>5000</v>
          </cell>
          <cell r="W21">
            <v>662.01099999999997</v>
          </cell>
          <cell r="X21">
            <v>2859383.450000003</v>
          </cell>
          <cell r="Y21">
            <v>17985067</v>
          </cell>
          <cell r="Z21">
            <v>2380613.9480000017</v>
          </cell>
        </row>
        <row r="22">
          <cell r="A22">
            <v>2975</v>
          </cell>
          <cell r="B22">
            <v>39100</v>
          </cell>
          <cell r="C22">
            <v>22.443999999999999</v>
          </cell>
          <cell r="D22">
            <v>142</v>
          </cell>
          <cell r="E22">
            <v>18.696000000000002</v>
          </cell>
          <cell r="F22" t="str">
            <v>0</v>
          </cell>
          <cell r="G22" t="str">
            <v>0</v>
          </cell>
          <cell r="H22" t="str">
            <v>0</v>
          </cell>
          <cell r="I22">
            <v>0</v>
          </cell>
          <cell r="J22">
            <v>0</v>
          </cell>
          <cell r="K22">
            <v>0</v>
          </cell>
          <cell r="L22">
            <v>22.443999999999999</v>
          </cell>
          <cell r="M22">
            <v>142</v>
          </cell>
          <cell r="N22">
            <v>18.696000000000002</v>
          </cell>
          <cell r="O22">
            <v>787.88499999999999</v>
          </cell>
          <cell r="P22">
            <v>4956</v>
          </cell>
          <cell r="Q22">
            <v>656.12299999999982</v>
          </cell>
          <cell r="R22">
            <v>2865189.6379999993</v>
          </cell>
          <cell r="S22">
            <v>18017772</v>
          </cell>
          <cell r="T22">
            <v>2385460.6599999992</v>
          </cell>
          <cell r="U22">
            <v>794.95399999999995</v>
          </cell>
          <cell r="V22">
            <v>5000</v>
          </cell>
          <cell r="W22">
            <v>662.01099999999997</v>
          </cell>
          <cell r="X22">
            <v>2859383.450000003</v>
          </cell>
          <cell r="Y22">
            <v>17985067</v>
          </cell>
          <cell r="Z22">
            <v>2380613.9480000017</v>
          </cell>
        </row>
        <row r="23">
          <cell r="A23">
            <v>2976</v>
          </cell>
          <cell r="B23">
            <v>39101</v>
          </cell>
          <cell r="C23">
            <v>22.443999999999999</v>
          </cell>
          <cell r="D23">
            <v>142</v>
          </cell>
          <cell r="E23">
            <v>18.696000000000002</v>
          </cell>
          <cell r="F23" t="str">
            <v>0</v>
          </cell>
          <cell r="G23" t="str">
            <v>0</v>
          </cell>
          <cell r="H23" t="str">
            <v>0</v>
          </cell>
          <cell r="I23">
            <v>0</v>
          </cell>
          <cell r="J23">
            <v>0</v>
          </cell>
          <cell r="K23">
            <v>0</v>
          </cell>
          <cell r="L23">
            <v>22.443999999999999</v>
          </cell>
          <cell r="M23">
            <v>142</v>
          </cell>
          <cell r="N23">
            <v>18.696000000000002</v>
          </cell>
          <cell r="O23">
            <v>787.88499999999999</v>
          </cell>
          <cell r="P23">
            <v>4956</v>
          </cell>
          <cell r="Q23">
            <v>656.12299999999982</v>
          </cell>
          <cell r="R23">
            <v>2865189.6379999993</v>
          </cell>
          <cell r="S23">
            <v>18017772</v>
          </cell>
          <cell r="T23">
            <v>2385460.6599999992</v>
          </cell>
          <cell r="U23">
            <v>794.95399999999995</v>
          </cell>
          <cell r="V23">
            <v>5000</v>
          </cell>
          <cell r="W23">
            <v>662.01099999999997</v>
          </cell>
          <cell r="X23">
            <v>2859383.450000003</v>
          </cell>
          <cell r="Y23">
            <v>17985067</v>
          </cell>
          <cell r="Z23">
            <v>2380613.9480000017</v>
          </cell>
        </row>
        <row r="24">
          <cell r="A24">
            <v>2977</v>
          </cell>
          <cell r="B24">
            <v>39102</v>
          </cell>
          <cell r="C24">
            <v>22.443999999999999</v>
          </cell>
          <cell r="D24">
            <v>142</v>
          </cell>
          <cell r="E24">
            <v>18.696000000000002</v>
          </cell>
          <cell r="F24" t="str">
            <v>0</v>
          </cell>
          <cell r="G24" t="str">
            <v>0</v>
          </cell>
          <cell r="H24" t="str">
            <v>0</v>
          </cell>
          <cell r="I24">
            <v>0</v>
          </cell>
          <cell r="J24">
            <v>0</v>
          </cell>
          <cell r="K24">
            <v>0</v>
          </cell>
          <cell r="L24">
            <v>22.443999999999999</v>
          </cell>
          <cell r="M24">
            <v>142</v>
          </cell>
          <cell r="N24">
            <v>18.696000000000002</v>
          </cell>
          <cell r="O24">
            <v>787.88499999999999</v>
          </cell>
          <cell r="P24">
            <v>4956</v>
          </cell>
          <cell r="Q24">
            <v>656.12299999999982</v>
          </cell>
          <cell r="R24">
            <v>2865189.6379999993</v>
          </cell>
          <cell r="S24">
            <v>18017772</v>
          </cell>
          <cell r="T24">
            <v>2385460.6599999992</v>
          </cell>
          <cell r="U24">
            <v>794.95399999999995</v>
          </cell>
          <cell r="V24">
            <v>5000</v>
          </cell>
          <cell r="W24">
            <v>662.01099999999997</v>
          </cell>
          <cell r="X24">
            <v>2859383.450000003</v>
          </cell>
          <cell r="Y24">
            <v>17985067</v>
          </cell>
          <cell r="Z24">
            <v>2380613.9480000017</v>
          </cell>
        </row>
        <row r="25">
          <cell r="A25">
            <v>2978</v>
          </cell>
          <cell r="B25">
            <v>39103</v>
          </cell>
          <cell r="C25">
            <v>22.443999999999999</v>
          </cell>
          <cell r="D25">
            <v>142</v>
          </cell>
          <cell r="E25">
            <v>18.696000000000002</v>
          </cell>
          <cell r="F25" t="str">
            <v>0</v>
          </cell>
          <cell r="G25" t="str">
            <v>0</v>
          </cell>
          <cell r="H25" t="str">
            <v>0</v>
          </cell>
          <cell r="I25">
            <v>0</v>
          </cell>
          <cell r="J25">
            <v>0</v>
          </cell>
          <cell r="K25">
            <v>0</v>
          </cell>
          <cell r="L25">
            <v>22.443999999999999</v>
          </cell>
          <cell r="M25">
            <v>142</v>
          </cell>
          <cell r="N25">
            <v>18.696000000000002</v>
          </cell>
          <cell r="O25">
            <v>787.88499999999999</v>
          </cell>
          <cell r="P25">
            <v>4956</v>
          </cell>
          <cell r="Q25">
            <v>656.12299999999982</v>
          </cell>
          <cell r="R25">
            <v>2865189.6379999993</v>
          </cell>
          <cell r="S25">
            <v>18017772</v>
          </cell>
          <cell r="T25">
            <v>2385460.6599999992</v>
          </cell>
          <cell r="U25">
            <v>794.95399999999995</v>
          </cell>
          <cell r="V25">
            <v>5000</v>
          </cell>
          <cell r="W25">
            <v>662.01099999999997</v>
          </cell>
          <cell r="X25">
            <v>2859383.450000003</v>
          </cell>
          <cell r="Y25">
            <v>17985067</v>
          </cell>
          <cell r="Z25">
            <v>2380613.9480000017</v>
          </cell>
        </row>
        <row r="26">
          <cell r="A26">
            <v>2979</v>
          </cell>
          <cell r="B26">
            <v>39104</v>
          </cell>
          <cell r="C26">
            <v>22.443999999999999</v>
          </cell>
          <cell r="D26">
            <v>142</v>
          </cell>
          <cell r="E26">
            <v>18.696000000000002</v>
          </cell>
          <cell r="F26" t="str">
            <v>0</v>
          </cell>
          <cell r="G26" t="str">
            <v>0</v>
          </cell>
          <cell r="H26" t="str">
            <v>0</v>
          </cell>
          <cell r="I26">
            <v>0</v>
          </cell>
          <cell r="J26">
            <v>0</v>
          </cell>
          <cell r="K26">
            <v>0</v>
          </cell>
          <cell r="L26">
            <v>22.443999999999999</v>
          </cell>
          <cell r="M26">
            <v>142</v>
          </cell>
          <cell r="N26">
            <v>18.696000000000002</v>
          </cell>
          <cell r="O26">
            <v>787.88499999999999</v>
          </cell>
          <cell r="P26">
            <v>4956</v>
          </cell>
          <cell r="Q26">
            <v>656.12299999999982</v>
          </cell>
          <cell r="R26">
            <v>2865189.6379999993</v>
          </cell>
          <cell r="S26">
            <v>18017772</v>
          </cell>
          <cell r="T26">
            <v>2385460.6599999992</v>
          </cell>
          <cell r="U26">
            <v>794.95399999999995</v>
          </cell>
          <cell r="V26">
            <v>5000</v>
          </cell>
          <cell r="W26">
            <v>662.01099999999997</v>
          </cell>
          <cell r="X26">
            <v>2859383.450000003</v>
          </cell>
          <cell r="Y26">
            <v>17985067</v>
          </cell>
          <cell r="Z26">
            <v>2380613.9480000017</v>
          </cell>
        </row>
        <row r="27">
          <cell r="A27">
            <v>2980</v>
          </cell>
          <cell r="B27">
            <v>39105</v>
          </cell>
          <cell r="C27">
            <v>22.443999999999999</v>
          </cell>
          <cell r="D27">
            <v>142</v>
          </cell>
          <cell r="E27">
            <v>18.696000000000002</v>
          </cell>
          <cell r="F27" t="str">
            <v>0</v>
          </cell>
          <cell r="G27" t="str">
            <v>0</v>
          </cell>
          <cell r="H27" t="str">
            <v>0</v>
          </cell>
          <cell r="I27">
            <v>0</v>
          </cell>
          <cell r="J27">
            <v>0</v>
          </cell>
          <cell r="K27">
            <v>0</v>
          </cell>
          <cell r="L27">
            <v>22.443999999999999</v>
          </cell>
          <cell r="M27">
            <v>142</v>
          </cell>
          <cell r="N27">
            <v>18.696000000000002</v>
          </cell>
          <cell r="O27">
            <v>787.88499999999999</v>
          </cell>
          <cell r="P27">
            <v>4956</v>
          </cell>
          <cell r="Q27">
            <v>656.12299999999982</v>
          </cell>
          <cell r="R27">
            <v>2865189.6379999993</v>
          </cell>
          <cell r="S27">
            <v>18017772</v>
          </cell>
          <cell r="T27">
            <v>2385460.6599999992</v>
          </cell>
          <cell r="U27">
            <v>794.95399999999995</v>
          </cell>
          <cell r="V27">
            <v>5000</v>
          </cell>
          <cell r="W27">
            <v>662.01099999999997</v>
          </cell>
          <cell r="X27">
            <v>2859383.450000003</v>
          </cell>
          <cell r="Y27">
            <v>17985067</v>
          </cell>
          <cell r="Z27">
            <v>2380613.9480000017</v>
          </cell>
        </row>
        <row r="28">
          <cell r="A28">
            <v>2981</v>
          </cell>
          <cell r="B28">
            <v>39106</v>
          </cell>
          <cell r="C28">
            <v>22.443999999999999</v>
          </cell>
          <cell r="D28">
            <v>142</v>
          </cell>
          <cell r="E28">
            <v>18.696000000000002</v>
          </cell>
          <cell r="F28" t="str">
            <v>0</v>
          </cell>
          <cell r="G28" t="str">
            <v>0</v>
          </cell>
          <cell r="H28" t="str">
            <v>0</v>
          </cell>
          <cell r="I28">
            <v>0</v>
          </cell>
          <cell r="J28">
            <v>0</v>
          </cell>
          <cell r="K28">
            <v>0</v>
          </cell>
          <cell r="L28">
            <v>22.443999999999999</v>
          </cell>
          <cell r="M28">
            <v>142</v>
          </cell>
          <cell r="N28">
            <v>18.696000000000002</v>
          </cell>
          <cell r="O28">
            <v>787.88499999999999</v>
          </cell>
          <cell r="P28">
            <v>4956</v>
          </cell>
          <cell r="Q28">
            <v>656.12299999999982</v>
          </cell>
          <cell r="R28">
            <v>2865189.6379999993</v>
          </cell>
          <cell r="S28">
            <v>18017772</v>
          </cell>
          <cell r="T28">
            <v>2385460.6599999992</v>
          </cell>
          <cell r="U28">
            <v>794.95399999999995</v>
          </cell>
          <cell r="V28">
            <v>5000</v>
          </cell>
          <cell r="W28">
            <v>662.01099999999997</v>
          </cell>
          <cell r="X28">
            <v>2859383.450000003</v>
          </cell>
          <cell r="Y28">
            <v>17985067</v>
          </cell>
          <cell r="Z28">
            <v>2380613.9480000017</v>
          </cell>
        </row>
        <row r="29">
          <cell r="A29">
            <v>2982</v>
          </cell>
          <cell r="B29">
            <v>39107</v>
          </cell>
          <cell r="C29">
            <v>22.443999999999999</v>
          </cell>
          <cell r="D29">
            <v>142</v>
          </cell>
          <cell r="E29">
            <v>18.696000000000002</v>
          </cell>
          <cell r="F29" t="str">
            <v>0</v>
          </cell>
          <cell r="G29" t="str">
            <v>0</v>
          </cell>
          <cell r="H29" t="str">
            <v>0</v>
          </cell>
          <cell r="I29">
            <v>0</v>
          </cell>
          <cell r="J29">
            <v>0</v>
          </cell>
          <cell r="K29">
            <v>0</v>
          </cell>
          <cell r="L29">
            <v>22.443999999999999</v>
          </cell>
          <cell r="M29">
            <v>142</v>
          </cell>
          <cell r="N29">
            <v>18.696000000000002</v>
          </cell>
          <cell r="O29">
            <v>787.88499999999999</v>
          </cell>
          <cell r="P29">
            <v>4956</v>
          </cell>
          <cell r="Q29">
            <v>656.12299999999982</v>
          </cell>
          <cell r="R29">
            <v>2865189.6379999993</v>
          </cell>
          <cell r="S29">
            <v>18017772</v>
          </cell>
          <cell r="T29">
            <v>2385460.6599999992</v>
          </cell>
          <cell r="U29">
            <v>794.95399999999995</v>
          </cell>
          <cell r="V29">
            <v>5000</v>
          </cell>
          <cell r="W29">
            <v>662.01099999999997</v>
          </cell>
          <cell r="X29">
            <v>2859383.450000003</v>
          </cell>
          <cell r="Y29">
            <v>17985067</v>
          </cell>
          <cell r="Z29">
            <v>2380613.9480000017</v>
          </cell>
        </row>
        <row r="30">
          <cell r="A30">
            <v>2983</v>
          </cell>
          <cell r="B30">
            <v>39108</v>
          </cell>
          <cell r="C30">
            <v>22.443999999999999</v>
          </cell>
          <cell r="D30">
            <v>142</v>
          </cell>
          <cell r="E30">
            <v>18.696000000000002</v>
          </cell>
          <cell r="F30" t="str">
            <v>0</v>
          </cell>
          <cell r="G30" t="str">
            <v>0</v>
          </cell>
          <cell r="H30" t="str">
            <v>0</v>
          </cell>
          <cell r="I30">
            <v>0</v>
          </cell>
          <cell r="J30">
            <v>0</v>
          </cell>
          <cell r="K30">
            <v>0</v>
          </cell>
          <cell r="L30">
            <v>22.443999999999999</v>
          </cell>
          <cell r="M30">
            <v>142</v>
          </cell>
          <cell r="N30">
            <v>18.696000000000002</v>
          </cell>
          <cell r="O30">
            <v>787.88499999999999</v>
          </cell>
          <cell r="P30">
            <v>4956</v>
          </cell>
          <cell r="Q30">
            <v>656.12299999999982</v>
          </cell>
          <cell r="R30">
            <v>2865189.6379999993</v>
          </cell>
          <cell r="S30">
            <v>18017772</v>
          </cell>
          <cell r="T30">
            <v>2385460.6599999992</v>
          </cell>
          <cell r="U30">
            <v>794.95399999999995</v>
          </cell>
          <cell r="V30">
            <v>5000</v>
          </cell>
          <cell r="W30">
            <v>662.01099999999997</v>
          </cell>
          <cell r="X30">
            <v>2859383.450000003</v>
          </cell>
          <cell r="Y30">
            <v>17985067</v>
          </cell>
          <cell r="Z30">
            <v>2380613.9480000017</v>
          </cell>
        </row>
        <row r="31">
          <cell r="A31">
            <v>2984</v>
          </cell>
          <cell r="B31">
            <v>39109</v>
          </cell>
          <cell r="C31">
            <v>22.443999999999999</v>
          </cell>
          <cell r="D31">
            <v>142</v>
          </cell>
          <cell r="E31">
            <v>18.696000000000002</v>
          </cell>
          <cell r="F31" t="str">
            <v>0</v>
          </cell>
          <cell r="G31" t="str">
            <v>0</v>
          </cell>
          <cell r="H31" t="str">
            <v>0</v>
          </cell>
          <cell r="I31">
            <v>0</v>
          </cell>
          <cell r="J31">
            <v>0</v>
          </cell>
          <cell r="K31">
            <v>0</v>
          </cell>
          <cell r="L31">
            <v>22.443999999999999</v>
          </cell>
          <cell r="M31">
            <v>142</v>
          </cell>
          <cell r="N31">
            <v>18.696000000000002</v>
          </cell>
          <cell r="O31">
            <v>787.88499999999999</v>
          </cell>
          <cell r="P31">
            <v>4956</v>
          </cell>
          <cell r="Q31">
            <v>656.12299999999982</v>
          </cell>
          <cell r="R31">
            <v>2865189.6379999993</v>
          </cell>
          <cell r="S31">
            <v>18017772</v>
          </cell>
          <cell r="T31">
            <v>2385460.6599999992</v>
          </cell>
          <cell r="U31">
            <v>794.95399999999995</v>
          </cell>
          <cell r="V31">
            <v>5000</v>
          </cell>
          <cell r="W31">
            <v>662.01099999999997</v>
          </cell>
          <cell r="X31">
            <v>2859383.450000003</v>
          </cell>
          <cell r="Y31">
            <v>17985067</v>
          </cell>
          <cell r="Z31">
            <v>2380613.9480000017</v>
          </cell>
        </row>
        <row r="32">
          <cell r="A32">
            <v>2985</v>
          </cell>
          <cell r="B32">
            <v>39110</v>
          </cell>
          <cell r="C32">
            <v>22.443999999999999</v>
          </cell>
          <cell r="D32">
            <v>142</v>
          </cell>
          <cell r="E32">
            <v>18.696000000000002</v>
          </cell>
          <cell r="F32" t="str">
            <v>0</v>
          </cell>
          <cell r="G32" t="str">
            <v>0</v>
          </cell>
          <cell r="H32" t="str">
            <v>0</v>
          </cell>
          <cell r="I32">
            <v>0</v>
          </cell>
          <cell r="J32">
            <v>0</v>
          </cell>
          <cell r="K32">
            <v>0</v>
          </cell>
          <cell r="L32">
            <v>22.443999999999999</v>
          </cell>
          <cell r="M32">
            <v>142</v>
          </cell>
          <cell r="N32">
            <v>18.696000000000002</v>
          </cell>
          <cell r="O32">
            <v>787.88499999999999</v>
          </cell>
          <cell r="P32">
            <v>4956</v>
          </cell>
          <cell r="Q32">
            <v>656.12299999999982</v>
          </cell>
          <cell r="R32">
            <v>2865189.6379999993</v>
          </cell>
          <cell r="S32">
            <v>18017772</v>
          </cell>
          <cell r="T32">
            <v>2385460.6599999992</v>
          </cell>
          <cell r="U32">
            <v>794.95399999999995</v>
          </cell>
          <cell r="V32">
            <v>5000</v>
          </cell>
          <cell r="W32">
            <v>662.01099999999997</v>
          </cell>
          <cell r="X32">
            <v>2859383.450000003</v>
          </cell>
          <cell r="Y32">
            <v>17985067</v>
          </cell>
          <cell r="Z32">
            <v>2380613.9480000017</v>
          </cell>
        </row>
        <row r="33">
          <cell r="A33">
            <v>2986</v>
          </cell>
          <cell r="B33">
            <v>39111</v>
          </cell>
          <cell r="C33">
            <v>22.443999999999999</v>
          </cell>
          <cell r="D33">
            <v>142</v>
          </cell>
          <cell r="E33">
            <v>18.696000000000002</v>
          </cell>
          <cell r="F33" t="str">
            <v>0</v>
          </cell>
          <cell r="G33" t="str">
            <v>0</v>
          </cell>
          <cell r="H33" t="str">
            <v>0</v>
          </cell>
          <cell r="I33">
            <v>0</v>
          </cell>
          <cell r="J33">
            <v>0</v>
          </cell>
          <cell r="K33">
            <v>0</v>
          </cell>
          <cell r="L33">
            <v>22.443999999999999</v>
          </cell>
          <cell r="M33">
            <v>142</v>
          </cell>
          <cell r="N33">
            <v>18.696000000000002</v>
          </cell>
          <cell r="O33">
            <v>787.88499999999999</v>
          </cell>
          <cell r="P33">
            <v>4956</v>
          </cell>
          <cell r="Q33">
            <v>656.12299999999982</v>
          </cell>
          <cell r="R33">
            <v>2865189.6379999993</v>
          </cell>
          <cell r="S33">
            <v>18017772</v>
          </cell>
          <cell r="T33">
            <v>2385460.6599999992</v>
          </cell>
          <cell r="U33">
            <v>794.95399999999995</v>
          </cell>
          <cell r="V33">
            <v>5000</v>
          </cell>
          <cell r="W33">
            <v>662.01099999999997</v>
          </cell>
          <cell r="X33">
            <v>2859383.450000003</v>
          </cell>
          <cell r="Y33">
            <v>17985067</v>
          </cell>
          <cell r="Z33">
            <v>2380613.9480000017</v>
          </cell>
        </row>
        <row r="34">
          <cell r="A34">
            <v>2987</v>
          </cell>
          <cell r="B34">
            <v>39112</v>
          </cell>
          <cell r="C34">
            <v>22.443999999999999</v>
          </cell>
          <cell r="D34">
            <v>142</v>
          </cell>
          <cell r="E34">
            <v>18.696000000000002</v>
          </cell>
          <cell r="F34" t="str">
            <v>0</v>
          </cell>
          <cell r="G34" t="str">
            <v>0</v>
          </cell>
          <cell r="H34" t="str">
            <v>0</v>
          </cell>
          <cell r="I34">
            <v>0</v>
          </cell>
          <cell r="J34">
            <v>0</v>
          </cell>
          <cell r="K34">
            <v>0</v>
          </cell>
          <cell r="L34">
            <v>22.443999999999999</v>
          </cell>
          <cell r="M34">
            <v>142</v>
          </cell>
          <cell r="N34">
            <v>18.696000000000002</v>
          </cell>
          <cell r="O34">
            <v>787.88499999999999</v>
          </cell>
          <cell r="P34">
            <v>4956</v>
          </cell>
          <cell r="Q34">
            <v>656.12299999999982</v>
          </cell>
          <cell r="R34">
            <v>2865189.6379999993</v>
          </cell>
          <cell r="S34">
            <v>18017772</v>
          </cell>
          <cell r="T34">
            <v>2385460.6599999992</v>
          </cell>
          <cell r="U34">
            <v>794.95399999999995</v>
          </cell>
          <cell r="V34">
            <v>5000</v>
          </cell>
          <cell r="W34">
            <v>662.01099999999997</v>
          </cell>
          <cell r="X34">
            <v>2859383.450000003</v>
          </cell>
          <cell r="Y34">
            <v>17985067</v>
          </cell>
          <cell r="Z34">
            <v>2380613.9480000017</v>
          </cell>
        </row>
        <row r="35">
          <cell r="A35">
            <v>2988</v>
          </cell>
          <cell r="B35">
            <v>39113</v>
          </cell>
          <cell r="C35">
            <v>22.443999999999999</v>
          </cell>
          <cell r="D35">
            <v>142</v>
          </cell>
          <cell r="E35">
            <v>18.696000000000002</v>
          </cell>
          <cell r="F35" t="str">
            <v>0</v>
          </cell>
          <cell r="G35" t="str">
            <v>0</v>
          </cell>
          <cell r="H35" t="str">
            <v>0</v>
          </cell>
          <cell r="I35">
            <v>0</v>
          </cell>
          <cell r="J35">
            <v>0</v>
          </cell>
          <cell r="K35">
            <v>0</v>
          </cell>
          <cell r="L35">
            <v>22.443999999999999</v>
          </cell>
          <cell r="M35">
            <v>142</v>
          </cell>
          <cell r="N35">
            <v>18.696000000000002</v>
          </cell>
          <cell r="O35">
            <v>787.88499999999999</v>
          </cell>
          <cell r="P35">
            <v>4956</v>
          </cell>
          <cell r="Q35">
            <v>656.12299999999982</v>
          </cell>
          <cell r="R35">
            <v>2865189.6379999993</v>
          </cell>
          <cell r="S35">
            <v>18017772</v>
          </cell>
          <cell r="T35">
            <v>2385460.6599999992</v>
          </cell>
          <cell r="U35">
            <v>794.95399999999995</v>
          </cell>
          <cell r="V35">
            <v>5000</v>
          </cell>
          <cell r="W35">
            <v>662.01099999999997</v>
          </cell>
          <cell r="X35">
            <v>2859383.450000003</v>
          </cell>
          <cell r="Y35">
            <v>17985067</v>
          </cell>
          <cell r="Z35">
            <v>2380613.9480000017</v>
          </cell>
        </row>
        <row r="36">
          <cell r="D36" t="str">
            <v xml:space="preserve">        TOTAL MOIS</v>
          </cell>
          <cell r="F36">
            <v>787.88499999999999</v>
          </cell>
          <cell r="G36">
            <v>4956</v>
          </cell>
          <cell r="H36">
            <v>656.12299999999982</v>
          </cell>
          <cell r="I36">
            <v>794.95399999999995</v>
          </cell>
          <cell r="J36">
            <v>5000</v>
          </cell>
          <cell r="K36">
            <v>662.01099999999997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ôle"/>
      <sheetName val="Feuil1"/>
      <sheetName val="Sommaire"/>
      <sheetName val="Suivi"/>
      <sheetName val="Hypothèses STAH Clôture 2024"/>
      <sheetName val="Manque à produire"/>
      <sheetName val="Présentation CE"/>
      <sheetName val="Présentation Bilan "/>
      <sheetName val="Annexe Bilan"/>
      <sheetName val="Forage"/>
      <sheetName val="Production"/>
      <sheetName val="TRC"/>
      <sheetName val="LQS"/>
      <sheetName val="RPC"/>
      <sheetName val="Pétrochémie"/>
      <sheetName val="Export Vol"/>
      <sheetName val="Export Val"/>
      <sheetName val="MN Vol"/>
      <sheetName val="MN Val"/>
      <sheetName val="PR Vol"/>
      <sheetName val="Investissement"/>
      <sheetName val="Emploi"/>
      <sheetName val="Présentation Note conjoncture"/>
      <sheetName val="Forage "/>
      <sheetName val="Production  "/>
      <sheetName val="TRC "/>
      <sheetName val="LQS "/>
      <sheetName val="Traitement Raffineries"/>
      <sheetName val="Production Raffineies"/>
      <sheetName val="Pétrochimie"/>
      <sheetName val="COM Vol"/>
      <sheetName val="COM Val"/>
      <sheetName val="Elèvements associé"/>
      <sheetName val="Importations "/>
      <sheetName val="Investissements "/>
      <sheetName val="Emploi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6">
          <cell r="F16">
            <v>0</v>
          </cell>
        </row>
      </sheetData>
      <sheetData sheetId="14"/>
      <sheetData sheetId="15"/>
      <sheetData sheetId="16">
        <row r="20">
          <cell r="D20">
            <v>30.519079190000006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6.bin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7.bin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8.bin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9.bin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0.bin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1.bin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2.bin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M32"/>
  <sheetViews>
    <sheetView showGridLines="0" tabSelected="1" view="pageBreakPreview" zoomScale="85" zoomScaleNormal="85" zoomScaleSheetLayoutView="85" workbookViewId="0">
      <selection activeCell="E25" sqref="E25"/>
    </sheetView>
  </sheetViews>
  <sheetFormatPr baseColWidth="10" defaultRowHeight="15" x14ac:dyDescent="0.25"/>
  <cols>
    <col min="1" max="15" width="20.7109375" style="391" customWidth="1"/>
    <col min="16" max="256" width="11.42578125" style="391"/>
    <col min="257" max="271" width="20.7109375" style="391" customWidth="1"/>
    <col min="272" max="512" width="11.42578125" style="391"/>
    <col min="513" max="527" width="20.7109375" style="391" customWidth="1"/>
    <col min="528" max="768" width="11.42578125" style="391"/>
    <col min="769" max="783" width="20.7109375" style="391" customWidth="1"/>
    <col min="784" max="1024" width="11.42578125" style="391"/>
    <col min="1025" max="1039" width="20.7109375" style="391" customWidth="1"/>
    <col min="1040" max="1280" width="11.42578125" style="391"/>
    <col min="1281" max="1295" width="20.7109375" style="391" customWidth="1"/>
    <col min="1296" max="1536" width="11.42578125" style="391"/>
    <col min="1537" max="1551" width="20.7109375" style="391" customWidth="1"/>
    <col min="1552" max="1792" width="11.42578125" style="391"/>
    <col min="1793" max="1807" width="20.7109375" style="391" customWidth="1"/>
    <col min="1808" max="2048" width="11.42578125" style="391"/>
    <col min="2049" max="2063" width="20.7109375" style="391" customWidth="1"/>
    <col min="2064" max="2304" width="11.42578125" style="391"/>
    <col min="2305" max="2319" width="20.7109375" style="391" customWidth="1"/>
    <col min="2320" max="2560" width="11.42578125" style="391"/>
    <col min="2561" max="2575" width="20.7109375" style="391" customWidth="1"/>
    <col min="2576" max="2816" width="11.42578125" style="391"/>
    <col min="2817" max="2831" width="20.7109375" style="391" customWidth="1"/>
    <col min="2832" max="3072" width="11.42578125" style="391"/>
    <col min="3073" max="3087" width="20.7109375" style="391" customWidth="1"/>
    <col min="3088" max="3328" width="11.42578125" style="391"/>
    <col min="3329" max="3343" width="20.7109375" style="391" customWidth="1"/>
    <col min="3344" max="3584" width="11.42578125" style="391"/>
    <col min="3585" max="3599" width="20.7109375" style="391" customWidth="1"/>
    <col min="3600" max="3840" width="11.42578125" style="391"/>
    <col min="3841" max="3855" width="20.7109375" style="391" customWidth="1"/>
    <col min="3856" max="4096" width="11.42578125" style="391"/>
    <col min="4097" max="4111" width="20.7109375" style="391" customWidth="1"/>
    <col min="4112" max="4352" width="11.42578125" style="391"/>
    <col min="4353" max="4367" width="20.7109375" style="391" customWidth="1"/>
    <col min="4368" max="4608" width="11.42578125" style="391"/>
    <col min="4609" max="4623" width="20.7109375" style="391" customWidth="1"/>
    <col min="4624" max="4864" width="11.42578125" style="391"/>
    <col min="4865" max="4879" width="20.7109375" style="391" customWidth="1"/>
    <col min="4880" max="5120" width="11.42578125" style="391"/>
    <col min="5121" max="5135" width="20.7109375" style="391" customWidth="1"/>
    <col min="5136" max="5376" width="11.42578125" style="391"/>
    <col min="5377" max="5391" width="20.7109375" style="391" customWidth="1"/>
    <col min="5392" max="5632" width="11.42578125" style="391"/>
    <col min="5633" max="5647" width="20.7109375" style="391" customWidth="1"/>
    <col min="5648" max="5888" width="11.42578125" style="391"/>
    <col min="5889" max="5903" width="20.7109375" style="391" customWidth="1"/>
    <col min="5904" max="6144" width="11.42578125" style="391"/>
    <col min="6145" max="6159" width="20.7109375" style="391" customWidth="1"/>
    <col min="6160" max="6400" width="11.42578125" style="391"/>
    <col min="6401" max="6415" width="20.7109375" style="391" customWidth="1"/>
    <col min="6416" max="6656" width="11.42578125" style="391"/>
    <col min="6657" max="6671" width="20.7109375" style="391" customWidth="1"/>
    <col min="6672" max="6912" width="11.42578125" style="391"/>
    <col min="6913" max="6927" width="20.7109375" style="391" customWidth="1"/>
    <col min="6928" max="7168" width="11.42578125" style="391"/>
    <col min="7169" max="7183" width="20.7109375" style="391" customWidth="1"/>
    <col min="7184" max="7424" width="11.42578125" style="391"/>
    <col min="7425" max="7439" width="20.7109375" style="391" customWidth="1"/>
    <col min="7440" max="7680" width="11.42578125" style="391"/>
    <col min="7681" max="7695" width="20.7109375" style="391" customWidth="1"/>
    <col min="7696" max="7936" width="11.42578125" style="391"/>
    <col min="7937" max="7951" width="20.7109375" style="391" customWidth="1"/>
    <col min="7952" max="8192" width="11.42578125" style="391"/>
    <col min="8193" max="8207" width="20.7109375" style="391" customWidth="1"/>
    <col min="8208" max="8448" width="11.42578125" style="391"/>
    <col min="8449" max="8463" width="20.7109375" style="391" customWidth="1"/>
    <col min="8464" max="8704" width="11.42578125" style="391"/>
    <col min="8705" max="8719" width="20.7109375" style="391" customWidth="1"/>
    <col min="8720" max="8960" width="11.42578125" style="391"/>
    <col min="8961" max="8975" width="20.7109375" style="391" customWidth="1"/>
    <col min="8976" max="9216" width="11.42578125" style="391"/>
    <col min="9217" max="9231" width="20.7109375" style="391" customWidth="1"/>
    <col min="9232" max="9472" width="11.42578125" style="391"/>
    <col min="9473" max="9487" width="20.7109375" style="391" customWidth="1"/>
    <col min="9488" max="9728" width="11.42578125" style="391"/>
    <col min="9729" max="9743" width="20.7109375" style="391" customWidth="1"/>
    <col min="9744" max="9984" width="11.42578125" style="391"/>
    <col min="9985" max="9999" width="20.7109375" style="391" customWidth="1"/>
    <col min="10000" max="10240" width="11.42578125" style="391"/>
    <col min="10241" max="10255" width="20.7109375" style="391" customWidth="1"/>
    <col min="10256" max="10496" width="11.42578125" style="391"/>
    <col min="10497" max="10511" width="20.7109375" style="391" customWidth="1"/>
    <col min="10512" max="10752" width="11.42578125" style="391"/>
    <col min="10753" max="10767" width="20.7109375" style="391" customWidth="1"/>
    <col min="10768" max="11008" width="11.42578125" style="391"/>
    <col min="11009" max="11023" width="20.7109375" style="391" customWidth="1"/>
    <col min="11024" max="11264" width="11.42578125" style="391"/>
    <col min="11265" max="11279" width="20.7109375" style="391" customWidth="1"/>
    <col min="11280" max="11520" width="11.42578125" style="391"/>
    <col min="11521" max="11535" width="20.7109375" style="391" customWidth="1"/>
    <col min="11536" max="11776" width="11.42578125" style="391"/>
    <col min="11777" max="11791" width="20.7109375" style="391" customWidth="1"/>
    <col min="11792" max="12032" width="11.42578125" style="391"/>
    <col min="12033" max="12047" width="20.7109375" style="391" customWidth="1"/>
    <col min="12048" max="12288" width="11.42578125" style="391"/>
    <col min="12289" max="12303" width="20.7109375" style="391" customWidth="1"/>
    <col min="12304" max="12544" width="11.42578125" style="391"/>
    <col min="12545" max="12559" width="20.7109375" style="391" customWidth="1"/>
    <col min="12560" max="12800" width="11.42578125" style="391"/>
    <col min="12801" max="12815" width="20.7109375" style="391" customWidth="1"/>
    <col min="12816" max="13056" width="11.42578125" style="391"/>
    <col min="13057" max="13071" width="20.7109375" style="391" customWidth="1"/>
    <col min="13072" max="13312" width="11.42578125" style="391"/>
    <col min="13313" max="13327" width="20.7109375" style="391" customWidth="1"/>
    <col min="13328" max="13568" width="11.42578125" style="391"/>
    <col min="13569" max="13583" width="20.7109375" style="391" customWidth="1"/>
    <col min="13584" max="13824" width="11.42578125" style="391"/>
    <col min="13825" max="13839" width="20.7109375" style="391" customWidth="1"/>
    <col min="13840" max="14080" width="11.42578125" style="391"/>
    <col min="14081" max="14095" width="20.7109375" style="391" customWidth="1"/>
    <col min="14096" max="14336" width="11.42578125" style="391"/>
    <col min="14337" max="14351" width="20.7109375" style="391" customWidth="1"/>
    <col min="14352" max="14592" width="11.42578125" style="391"/>
    <col min="14593" max="14607" width="20.7109375" style="391" customWidth="1"/>
    <col min="14608" max="14848" width="11.42578125" style="391"/>
    <col min="14849" max="14863" width="20.7109375" style="391" customWidth="1"/>
    <col min="14864" max="15104" width="11.42578125" style="391"/>
    <col min="15105" max="15119" width="20.7109375" style="391" customWidth="1"/>
    <col min="15120" max="15360" width="11.42578125" style="391"/>
    <col min="15361" max="15375" width="20.7109375" style="391" customWidth="1"/>
    <col min="15376" max="15616" width="11.42578125" style="391"/>
    <col min="15617" max="15631" width="20.7109375" style="391" customWidth="1"/>
    <col min="15632" max="15872" width="11.42578125" style="391"/>
    <col min="15873" max="15887" width="20.7109375" style="391" customWidth="1"/>
    <col min="15888" max="16128" width="11.42578125" style="391"/>
    <col min="16129" max="16143" width="20.7109375" style="391" customWidth="1"/>
    <col min="16144" max="16384" width="11.42578125" style="391"/>
  </cols>
  <sheetData>
    <row r="2" spans="1:13" x14ac:dyDescent="0.25">
      <c r="B2" s="405">
        <v>6</v>
      </c>
      <c r="F2" s="394"/>
      <c r="G2" s="394"/>
      <c r="H2" s="394"/>
      <c r="I2" s="394"/>
      <c r="J2" s="394"/>
      <c r="K2" s="394"/>
      <c r="L2" s="394"/>
      <c r="M2" s="394"/>
    </row>
    <row r="3" spans="1:13" x14ac:dyDescent="0.25">
      <c r="F3" s="394"/>
      <c r="G3" s="394"/>
      <c r="H3" s="394"/>
      <c r="I3" s="394"/>
      <c r="J3" s="394"/>
      <c r="K3" s="394"/>
      <c r="L3" s="394"/>
      <c r="M3" s="394"/>
    </row>
    <row r="4" spans="1:13" x14ac:dyDescent="0.25">
      <c r="C4" s="406"/>
      <c r="F4" s="394"/>
      <c r="G4" s="394"/>
      <c r="H4" s="394"/>
      <c r="I4" s="394"/>
      <c r="J4" s="394"/>
      <c r="K4" s="394"/>
      <c r="L4" s="394"/>
      <c r="M4" s="394"/>
    </row>
    <row r="5" spans="1:13" x14ac:dyDescent="0.25">
      <c r="A5" s="390"/>
      <c r="B5" s="390"/>
      <c r="C5" s="390"/>
      <c r="D5" s="390"/>
      <c r="E5" s="390"/>
      <c r="F5" s="395"/>
      <c r="G5" s="394"/>
      <c r="H5" s="394"/>
      <c r="I5" s="394"/>
      <c r="J5" s="394"/>
      <c r="K5" s="394"/>
      <c r="L5" s="394"/>
      <c r="M5" s="394"/>
    </row>
    <row r="6" spans="1:13" x14ac:dyDescent="0.25">
      <c r="A6" s="390"/>
      <c r="B6" s="390"/>
      <c r="C6" s="390"/>
      <c r="D6" s="390"/>
      <c r="E6" s="390"/>
      <c r="F6" s="395"/>
      <c r="G6" s="394"/>
      <c r="H6" s="394"/>
      <c r="I6" s="394"/>
      <c r="J6" s="394"/>
      <c r="K6" s="394"/>
      <c r="L6" s="394"/>
      <c r="M6" s="394"/>
    </row>
    <row r="7" spans="1:13" x14ac:dyDescent="0.25">
      <c r="A7" s="390"/>
      <c r="B7" s="390"/>
      <c r="C7" s="390"/>
      <c r="D7" s="390"/>
      <c r="E7" s="390"/>
      <c r="F7" s="395"/>
      <c r="G7" s="394"/>
      <c r="H7" s="394"/>
      <c r="I7" s="394"/>
      <c r="J7" s="394"/>
      <c r="K7" s="394"/>
      <c r="L7" s="394"/>
      <c r="M7" s="394"/>
    </row>
    <row r="8" spans="1:13" x14ac:dyDescent="0.25">
      <c r="A8" s="390"/>
      <c r="B8" s="390"/>
      <c r="C8" s="390"/>
      <c r="D8" s="390"/>
      <c r="E8" s="390"/>
      <c r="F8" s="390"/>
    </row>
    <row r="9" spans="1:13" x14ac:dyDescent="0.25">
      <c r="A9" s="390"/>
      <c r="B9" s="390"/>
      <c r="C9" s="390"/>
      <c r="D9" s="390"/>
      <c r="E9" s="390"/>
      <c r="F9" s="390"/>
    </row>
    <row r="10" spans="1:13" x14ac:dyDescent="0.25">
      <c r="A10" s="390"/>
      <c r="B10" s="390"/>
      <c r="C10" s="390"/>
      <c r="D10" s="390"/>
      <c r="E10" s="390"/>
      <c r="F10" s="390"/>
    </row>
    <row r="11" spans="1:13" ht="18" x14ac:dyDescent="0.25">
      <c r="A11" s="812" t="s">
        <v>109</v>
      </c>
      <c r="B11" s="812"/>
      <c r="C11" s="812"/>
      <c r="D11" s="812"/>
      <c r="E11" s="812"/>
      <c r="F11" s="812"/>
    </row>
    <row r="12" spans="1:13" ht="18" x14ac:dyDescent="0.25">
      <c r="A12" s="812"/>
      <c r="B12" s="812"/>
      <c r="C12" s="812"/>
      <c r="D12" s="812"/>
      <c r="E12" s="812"/>
      <c r="F12" s="812"/>
    </row>
    <row r="13" spans="1:13" ht="15.75" x14ac:dyDescent="0.25">
      <c r="A13" s="813"/>
      <c r="B13" s="813"/>
      <c r="C13" s="813"/>
      <c r="D13" s="813"/>
      <c r="E13" s="813"/>
      <c r="F13" s="813"/>
    </row>
    <row r="14" spans="1:13" ht="15.75" x14ac:dyDescent="0.25">
      <c r="A14" s="390"/>
      <c r="B14" s="390"/>
      <c r="C14" s="396"/>
      <c r="D14" s="390"/>
      <c r="E14" s="390"/>
      <c r="F14" s="390"/>
    </row>
    <row r="15" spans="1:13" ht="4.9000000000000004" customHeight="1" x14ac:dyDescent="0.25">
      <c r="A15" s="390"/>
      <c r="B15" s="397"/>
      <c r="C15" s="398"/>
      <c r="D15" s="397"/>
      <c r="E15" s="397"/>
      <c r="F15" s="390"/>
    </row>
    <row r="16" spans="1:13" ht="15.75" x14ac:dyDescent="0.25">
      <c r="A16" s="390"/>
      <c r="B16" s="390"/>
      <c r="C16" s="396"/>
      <c r="D16" s="390"/>
      <c r="E16" s="390"/>
      <c r="F16" s="390"/>
    </row>
    <row r="17" spans="1:8" ht="15.75" x14ac:dyDescent="0.25">
      <c r="A17" s="390"/>
      <c r="B17" s="390"/>
      <c r="C17" s="396"/>
      <c r="D17" s="390"/>
      <c r="E17" s="390"/>
      <c r="F17" s="390"/>
      <c r="G17" s="390"/>
    </row>
    <row r="18" spans="1:8" ht="30" customHeight="1" x14ac:dyDescent="0.35">
      <c r="A18" s="389"/>
      <c r="B18" s="814"/>
      <c r="C18" s="814"/>
      <c r="D18" s="814"/>
      <c r="E18" s="814"/>
      <c r="F18" s="389"/>
      <c r="G18" s="390"/>
    </row>
    <row r="19" spans="1:8" ht="26.25" x14ac:dyDescent="0.35">
      <c r="A19" s="389"/>
      <c r="B19" s="814"/>
      <c r="C19" s="814"/>
      <c r="D19" s="814"/>
      <c r="E19" s="814"/>
      <c r="F19" s="389"/>
      <c r="G19" s="390"/>
    </row>
    <row r="20" spans="1:8" ht="20.100000000000001" customHeight="1" x14ac:dyDescent="0.35">
      <c r="A20" s="389"/>
      <c r="B20" s="392"/>
      <c r="C20" s="392"/>
      <c r="D20" s="392"/>
      <c r="E20" s="392"/>
      <c r="F20" s="389"/>
      <c r="G20" s="390"/>
    </row>
    <row r="21" spans="1:8" s="393" customFormat="1" ht="26.25" x14ac:dyDescent="0.25">
      <c r="A21" s="815" t="s">
        <v>201</v>
      </c>
      <c r="B21" s="815"/>
      <c r="C21" s="815"/>
      <c r="D21" s="815"/>
      <c r="E21" s="815"/>
      <c r="F21" s="815"/>
      <c r="G21" s="255"/>
    </row>
    <row r="22" spans="1:8" ht="30" x14ac:dyDescent="0.4">
      <c r="A22" s="399"/>
      <c r="B22" s="399"/>
      <c r="C22" s="400"/>
      <c r="D22" s="399"/>
      <c r="E22" s="399"/>
      <c r="F22" s="399"/>
      <c r="G22" s="390"/>
    </row>
    <row r="23" spans="1:8" ht="5.0999999999999996" customHeight="1" x14ac:dyDescent="0.4">
      <c r="A23" s="399"/>
      <c r="B23" s="401"/>
      <c r="C23" s="402"/>
      <c r="D23" s="401"/>
      <c r="E23" s="401"/>
      <c r="F23" s="399"/>
      <c r="G23" s="390"/>
    </row>
    <row r="24" spans="1:8" ht="30" x14ac:dyDescent="0.4">
      <c r="A24" s="399"/>
      <c r="B24" s="399"/>
      <c r="C24" s="399"/>
      <c r="D24" s="399"/>
      <c r="E24" s="399"/>
      <c r="F24" s="399"/>
      <c r="G24" s="390"/>
    </row>
    <row r="25" spans="1:8" ht="26.25" x14ac:dyDescent="0.4">
      <c r="A25" s="403"/>
      <c r="F25" s="403"/>
      <c r="G25" s="390"/>
    </row>
    <row r="26" spans="1:8" x14ac:dyDescent="0.25">
      <c r="A26" s="390"/>
      <c r="F26" s="390"/>
      <c r="G26" s="390"/>
    </row>
    <row r="27" spans="1:8" ht="20.25" x14ac:dyDescent="0.25">
      <c r="A27" s="390"/>
      <c r="B27" s="811"/>
      <c r="C27" s="811"/>
      <c r="D27" s="811"/>
      <c r="E27" s="811"/>
      <c r="F27" s="390"/>
      <c r="G27" s="390"/>
      <c r="H27" s="479"/>
    </row>
    <row r="28" spans="1:8" x14ac:dyDescent="0.25">
      <c r="A28" s="404"/>
      <c r="B28" s="390"/>
      <c r="C28" s="390"/>
      <c r="D28" s="390"/>
      <c r="E28" s="390"/>
      <c r="F28" s="404"/>
      <c r="G28" s="390"/>
    </row>
    <row r="29" spans="1:8" x14ac:dyDescent="0.25">
      <c r="A29" s="404"/>
      <c r="B29" s="390"/>
      <c r="C29" s="390"/>
      <c r="D29" s="390"/>
      <c r="E29" s="390"/>
      <c r="F29" s="404"/>
      <c r="G29" s="390"/>
    </row>
    <row r="30" spans="1:8" x14ac:dyDescent="0.25">
      <c r="A30" s="404"/>
      <c r="B30" s="390"/>
      <c r="C30" s="390"/>
      <c r="D30" s="390"/>
      <c r="E30" s="390"/>
      <c r="F30" s="404"/>
    </row>
    <row r="31" spans="1:8" x14ac:dyDescent="0.25">
      <c r="A31" s="404"/>
      <c r="B31" s="390"/>
      <c r="C31" s="390"/>
      <c r="D31" s="390"/>
      <c r="E31" s="390"/>
      <c r="F31" s="404"/>
    </row>
    <row r="32" spans="1:8" x14ac:dyDescent="0.25">
      <c r="A32" s="404"/>
      <c r="B32" s="404"/>
      <c r="C32" s="404"/>
      <c r="D32" s="404"/>
      <c r="E32" s="404"/>
      <c r="F32" s="404"/>
    </row>
  </sheetData>
  <mergeCells count="7">
    <mergeCell ref="B27:E27"/>
    <mergeCell ref="A11:F11"/>
    <mergeCell ref="A12:F12"/>
    <mergeCell ref="A13:F13"/>
    <mergeCell ref="B18:E18"/>
    <mergeCell ref="B19:E19"/>
    <mergeCell ref="A21:F21"/>
  </mergeCell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99" orientation="landscape" horizontalDpi="4294967293" verticalDpi="4294967293" r:id="rId1"/>
  <customProperties>
    <customPr name="EpmWorksheetKeyString_GUID" r:id="rId2"/>
  </customPropertie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144FE-3F33-44ED-AE97-F186860DE85A}">
  <dimension ref="A1:AP81"/>
  <sheetViews>
    <sheetView showGridLines="0" view="pageBreakPreview" zoomScale="85" zoomScaleNormal="85" zoomScaleSheetLayoutView="85" workbookViewId="0">
      <selection activeCell="O10" sqref="O10"/>
    </sheetView>
  </sheetViews>
  <sheetFormatPr baseColWidth="10" defaultColWidth="11.42578125" defaultRowHeight="14.25" x14ac:dyDescent="0.25"/>
  <cols>
    <col min="1" max="1" width="4" style="594" customWidth="1"/>
    <col min="2" max="2" width="41.28515625" style="593" customWidth="1"/>
    <col min="3" max="3" width="0.85546875" style="594" customWidth="1"/>
    <col min="4" max="4" width="8.7109375" style="595" customWidth="1"/>
    <col min="5" max="5" width="0.85546875" style="596" customWidth="1"/>
    <col min="6" max="6" width="15.7109375" style="596" customWidth="1"/>
    <col min="7" max="7" width="15.7109375" style="3" customWidth="1"/>
    <col min="8" max="8" width="0.85546875" style="2" customWidth="1"/>
    <col min="9" max="10" width="15.7109375" style="2" customWidth="1"/>
    <col min="11" max="11" width="0.85546875" style="594" customWidth="1"/>
    <col min="12" max="13" width="15.7109375" style="594" customWidth="1"/>
    <col min="14" max="14" width="0.85546875" style="594" customWidth="1"/>
    <col min="15" max="15" width="15.7109375" style="594" customWidth="1"/>
    <col min="16" max="16" width="0.85546875" style="594" customWidth="1"/>
    <col min="17" max="20" width="6.7109375" style="594" customWidth="1"/>
    <col min="21" max="21" width="9.28515625" style="594" customWidth="1"/>
    <col min="22" max="22" width="11.42578125" style="594"/>
    <col min="23" max="23" width="16.28515625" style="594" customWidth="1"/>
    <col min="24" max="240" width="11.42578125" style="594"/>
    <col min="241" max="241" width="4" style="594" customWidth="1"/>
    <col min="242" max="242" width="30.7109375" style="594" customWidth="1"/>
    <col min="243" max="243" width="0.85546875" style="594" customWidth="1"/>
    <col min="244" max="244" width="8.7109375" style="594" customWidth="1"/>
    <col min="245" max="245" width="0.7109375" style="594" customWidth="1"/>
    <col min="246" max="246" width="0.140625" style="594" customWidth="1"/>
    <col min="247" max="247" width="17.7109375" style="594" customWidth="1"/>
    <col min="248" max="248" width="21" style="594" customWidth="1"/>
    <col min="249" max="249" width="0.85546875" style="594" customWidth="1"/>
    <col min="250" max="251" width="14.7109375" style="594" customWidth="1"/>
    <col min="252" max="252" width="0.85546875" style="594" customWidth="1"/>
    <col min="253" max="254" width="14.7109375" style="594" customWidth="1"/>
    <col min="255" max="255" width="0.85546875" style="594" customWidth="1"/>
    <col min="256" max="256" width="14.7109375" style="594" customWidth="1"/>
    <col min="257" max="257" width="0.85546875" style="594" customWidth="1"/>
    <col min="258" max="262" width="6.7109375" style="594" customWidth="1"/>
    <col min="263" max="496" width="11.42578125" style="594"/>
    <col min="497" max="497" width="4" style="594" customWidth="1"/>
    <col min="498" max="498" width="30.7109375" style="594" customWidth="1"/>
    <col min="499" max="499" width="0.85546875" style="594" customWidth="1"/>
    <col min="500" max="500" width="8.7109375" style="594" customWidth="1"/>
    <col min="501" max="501" width="0.7109375" style="594" customWidth="1"/>
    <col min="502" max="502" width="0.140625" style="594" customWidth="1"/>
    <col min="503" max="503" width="17.7109375" style="594" customWidth="1"/>
    <col min="504" max="504" width="21" style="594" customWidth="1"/>
    <col min="505" max="505" width="0.85546875" style="594" customWidth="1"/>
    <col min="506" max="507" width="14.7109375" style="594" customWidth="1"/>
    <col min="508" max="508" width="0.85546875" style="594" customWidth="1"/>
    <col min="509" max="510" width="14.7109375" style="594" customWidth="1"/>
    <col min="511" max="511" width="0.85546875" style="594" customWidth="1"/>
    <col min="512" max="512" width="14.7109375" style="594" customWidth="1"/>
    <col min="513" max="513" width="0.85546875" style="594" customWidth="1"/>
    <col min="514" max="518" width="6.7109375" style="594" customWidth="1"/>
    <col min="519" max="752" width="11.42578125" style="594"/>
    <col min="753" max="753" width="4" style="594" customWidth="1"/>
    <col min="754" max="754" width="30.7109375" style="594" customWidth="1"/>
    <col min="755" max="755" width="0.85546875" style="594" customWidth="1"/>
    <col min="756" max="756" width="8.7109375" style="594" customWidth="1"/>
    <col min="757" max="757" width="0.7109375" style="594" customWidth="1"/>
    <col min="758" max="758" width="0.140625" style="594" customWidth="1"/>
    <col min="759" max="759" width="17.7109375" style="594" customWidth="1"/>
    <col min="760" max="760" width="21" style="594" customWidth="1"/>
    <col min="761" max="761" width="0.85546875" style="594" customWidth="1"/>
    <col min="762" max="763" width="14.7109375" style="594" customWidth="1"/>
    <col min="764" max="764" width="0.85546875" style="594" customWidth="1"/>
    <col min="765" max="766" width="14.7109375" style="594" customWidth="1"/>
    <col min="767" max="767" width="0.85546875" style="594" customWidth="1"/>
    <col min="768" max="768" width="14.7109375" style="594" customWidth="1"/>
    <col min="769" max="769" width="0.85546875" style="594" customWidth="1"/>
    <col min="770" max="774" width="6.7109375" style="594" customWidth="1"/>
    <col min="775" max="1008" width="11.42578125" style="594"/>
    <col min="1009" max="1009" width="4" style="594" customWidth="1"/>
    <col min="1010" max="1010" width="30.7109375" style="594" customWidth="1"/>
    <col min="1011" max="1011" width="0.85546875" style="594" customWidth="1"/>
    <col min="1012" max="1012" width="8.7109375" style="594" customWidth="1"/>
    <col min="1013" max="1013" width="0.7109375" style="594" customWidth="1"/>
    <col min="1014" max="1014" width="0.140625" style="594" customWidth="1"/>
    <col min="1015" max="1015" width="17.7109375" style="594" customWidth="1"/>
    <col min="1016" max="1016" width="21" style="594" customWidth="1"/>
    <col min="1017" max="1017" width="0.85546875" style="594" customWidth="1"/>
    <col min="1018" max="1019" width="14.7109375" style="594" customWidth="1"/>
    <col min="1020" max="1020" width="0.85546875" style="594" customWidth="1"/>
    <col min="1021" max="1022" width="14.7109375" style="594" customWidth="1"/>
    <col min="1023" max="1023" width="0.85546875" style="594" customWidth="1"/>
    <col min="1024" max="1024" width="14.7109375" style="594" customWidth="1"/>
    <col min="1025" max="1025" width="0.85546875" style="594" customWidth="1"/>
    <col min="1026" max="1030" width="6.7109375" style="594" customWidth="1"/>
    <col min="1031" max="1264" width="11.42578125" style="594"/>
    <col min="1265" max="1265" width="4" style="594" customWidth="1"/>
    <col min="1266" max="1266" width="30.7109375" style="594" customWidth="1"/>
    <col min="1267" max="1267" width="0.85546875" style="594" customWidth="1"/>
    <col min="1268" max="1268" width="8.7109375" style="594" customWidth="1"/>
    <col min="1269" max="1269" width="0.7109375" style="594" customWidth="1"/>
    <col min="1270" max="1270" width="0.140625" style="594" customWidth="1"/>
    <col min="1271" max="1271" width="17.7109375" style="594" customWidth="1"/>
    <col min="1272" max="1272" width="21" style="594" customWidth="1"/>
    <col min="1273" max="1273" width="0.85546875" style="594" customWidth="1"/>
    <col min="1274" max="1275" width="14.7109375" style="594" customWidth="1"/>
    <col min="1276" max="1276" width="0.85546875" style="594" customWidth="1"/>
    <col min="1277" max="1278" width="14.7109375" style="594" customWidth="1"/>
    <col min="1279" max="1279" width="0.85546875" style="594" customWidth="1"/>
    <col min="1280" max="1280" width="14.7109375" style="594" customWidth="1"/>
    <col min="1281" max="1281" width="0.85546875" style="594" customWidth="1"/>
    <col min="1282" max="1286" width="6.7109375" style="594" customWidth="1"/>
    <col min="1287" max="1520" width="11.42578125" style="594"/>
    <col min="1521" max="1521" width="4" style="594" customWidth="1"/>
    <col min="1522" max="1522" width="30.7109375" style="594" customWidth="1"/>
    <col min="1523" max="1523" width="0.85546875" style="594" customWidth="1"/>
    <col min="1524" max="1524" width="8.7109375" style="594" customWidth="1"/>
    <col min="1525" max="1525" width="0.7109375" style="594" customWidth="1"/>
    <col min="1526" max="1526" width="0.140625" style="594" customWidth="1"/>
    <col min="1527" max="1527" width="17.7109375" style="594" customWidth="1"/>
    <col min="1528" max="1528" width="21" style="594" customWidth="1"/>
    <col min="1529" max="1529" width="0.85546875" style="594" customWidth="1"/>
    <col min="1530" max="1531" width="14.7109375" style="594" customWidth="1"/>
    <col min="1532" max="1532" width="0.85546875" style="594" customWidth="1"/>
    <col min="1533" max="1534" width="14.7109375" style="594" customWidth="1"/>
    <col min="1535" max="1535" width="0.85546875" style="594" customWidth="1"/>
    <col min="1536" max="1536" width="14.7109375" style="594" customWidth="1"/>
    <col min="1537" max="1537" width="0.85546875" style="594" customWidth="1"/>
    <col min="1538" max="1542" width="6.7109375" style="594" customWidth="1"/>
    <col min="1543" max="1776" width="11.42578125" style="594"/>
    <col min="1777" max="1777" width="4" style="594" customWidth="1"/>
    <col min="1778" max="1778" width="30.7109375" style="594" customWidth="1"/>
    <col min="1779" max="1779" width="0.85546875" style="594" customWidth="1"/>
    <col min="1780" max="1780" width="8.7109375" style="594" customWidth="1"/>
    <col min="1781" max="1781" width="0.7109375" style="594" customWidth="1"/>
    <col min="1782" max="1782" width="0.140625" style="594" customWidth="1"/>
    <col min="1783" max="1783" width="17.7109375" style="594" customWidth="1"/>
    <col min="1784" max="1784" width="21" style="594" customWidth="1"/>
    <col min="1785" max="1785" width="0.85546875" style="594" customWidth="1"/>
    <col min="1786" max="1787" width="14.7109375" style="594" customWidth="1"/>
    <col min="1788" max="1788" width="0.85546875" style="594" customWidth="1"/>
    <col min="1789" max="1790" width="14.7109375" style="594" customWidth="1"/>
    <col min="1791" max="1791" width="0.85546875" style="594" customWidth="1"/>
    <col min="1792" max="1792" width="14.7109375" style="594" customWidth="1"/>
    <col min="1793" max="1793" width="0.85546875" style="594" customWidth="1"/>
    <col min="1794" max="1798" width="6.7109375" style="594" customWidth="1"/>
    <col min="1799" max="2032" width="11.42578125" style="594"/>
    <col min="2033" max="2033" width="4" style="594" customWidth="1"/>
    <col min="2034" max="2034" width="30.7109375" style="594" customWidth="1"/>
    <col min="2035" max="2035" width="0.85546875" style="594" customWidth="1"/>
    <col min="2036" max="2036" width="8.7109375" style="594" customWidth="1"/>
    <col min="2037" max="2037" width="0.7109375" style="594" customWidth="1"/>
    <col min="2038" max="2038" width="0.140625" style="594" customWidth="1"/>
    <col min="2039" max="2039" width="17.7109375" style="594" customWidth="1"/>
    <col min="2040" max="2040" width="21" style="594" customWidth="1"/>
    <col min="2041" max="2041" width="0.85546875" style="594" customWidth="1"/>
    <col min="2042" max="2043" width="14.7109375" style="594" customWidth="1"/>
    <col min="2044" max="2044" width="0.85546875" style="594" customWidth="1"/>
    <col min="2045" max="2046" width="14.7109375" style="594" customWidth="1"/>
    <col min="2047" max="2047" width="0.85546875" style="594" customWidth="1"/>
    <col min="2048" max="2048" width="14.7109375" style="594" customWidth="1"/>
    <col min="2049" max="2049" width="0.85546875" style="594" customWidth="1"/>
    <col min="2050" max="2054" width="6.7109375" style="594" customWidth="1"/>
    <col min="2055" max="2288" width="11.42578125" style="594"/>
    <col min="2289" max="2289" width="4" style="594" customWidth="1"/>
    <col min="2290" max="2290" width="30.7109375" style="594" customWidth="1"/>
    <col min="2291" max="2291" width="0.85546875" style="594" customWidth="1"/>
    <col min="2292" max="2292" width="8.7109375" style="594" customWidth="1"/>
    <col min="2293" max="2293" width="0.7109375" style="594" customWidth="1"/>
    <col min="2294" max="2294" width="0.140625" style="594" customWidth="1"/>
    <col min="2295" max="2295" width="17.7109375" style="594" customWidth="1"/>
    <col min="2296" max="2296" width="21" style="594" customWidth="1"/>
    <col min="2297" max="2297" width="0.85546875" style="594" customWidth="1"/>
    <col min="2298" max="2299" width="14.7109375" style="594" customWidth="1"/>
    <col min="2300" max="2300" width="0.85546875" style="594" customWidth="1"/>
    <col min="2301" max="2302" width="14.7109375" style="594" customWidth="1"/>
    <col min="2303" max="2303" width="0.85546875" style="594" customWidth="1"/>
    <col min="2304" max="2304" width="14.7109375" style="594" customWidth="1"/>
    <col min="2305" max="2305" width="0.85546875" style="594" customWidth="1"/>
    <col min="2306" max="2310" width="6.7109375" style="594" customWidth="1"/>
    <col min="2311" max="2544" width="11.42578125" style="594"/>
    <col min="2545" max="2545" width="4" style="594" customWidth="1"/>
    <col min="2546" max="2546" width="30.7109375" style="594" customWidth="1"/>
    <col min="2547" max="2547" width="0.85546875" style="594" customWidth="1"/>
    <col min="2548" max="2548" width="8.7109375" style="594" customWidth="1"/>
    <col min="2549" max="2549" width="0.7109375" style="594" customWidth="1"/>
    <col min="2550" max="2550" width="0.140625" style="594" customWidth="1"/>
    <col min="2551" max="2551" width="17.7109375" style="594" customWidth="1"/>
    <col min="2552" max="2552" width="21" style="594" customWidth="1"/>
    <col min="2553" max="2553" width="0.85546875" style="594" customWidth="1"/>
    <col min="2554" max="2555" width="14.7109375" style="594" customWidth="1"/>
    <col min="2556" max="2556" width="0.85546875" style="594" customWidth="1"/>
    <col min="2557" max="2558" width="14.7109375" style="594" customWidth="1"/>
    <col min="2559" max="2559" width="0.85546875" style="594" customWidth="1"/>
    <col min="2560" max="2560" width="14.7109375" style="594" customWidth="1"/>
    <col min="2561" max="2561" width="0.85546875" style="594" customWidth="1"/>
    <col min="2562" max="2566" width="6.7109375" style="594" customWidth="1"/>
    <col min="2567" max="2800" width="11.42578125" style="594"/>
    <col min="2801" max="2801" width="4" style="594" customWidth="1"/>
    <col min="2802" max="2802" width="30.7109375" style="594" customWidth="1"/>
    <col min="2803" max="2803" width="0.85546875" style="594" customWidth="1"/>
    <col min="2804" max="2804" width="8.7109375" style="594" customWidth="1"/>
    <col min="2805" max="2805" width="0.7109375" style="594" customWidth="1"/>
    <col min="2806" max="2806" width="0.140625" style="594" customWidth="1"/>
    <col min="2807" max="2807" width="17.7109375" style="594" customWidth="1"/>
    <col min="2808" max="2808" width="21" style="594" customWidth="1"/>
    <col min="2809" max="2809" width="0.85546875" style="594" customWidth="1"/>
    <col min="2810" max="2811" width="14.7109375" style="594" customWidth="1"/>
    <col min="2812" max="2812" width="0.85546875" style="594" customWidth="1"/>
    <col min="2813" max="2814" width="14.7109375" style="594" customWidth="1"/>
    <col min="2815" max="2815" width="0.85546875" style="594" customWidth="1"/>
    <col min="2816" max="2816" width="14.7109375" style="594" customWidth="1"/>
    <col min="2817" max="2817" width="0.85546875" style="594" customWidth="1"/>
    <col min="2818" max="2822" width="6.7109375" style="594" customWidth="1"/>
    <col min="2823" max="3056" width="11.42578125" style="594"/>
    <col min="3057" max="3057" width="4" style="594" customWidth="1"/>
    <col min="3058" max="3058" width="30.7109375" style="594" customWidth="1"/>
    <col min="3059" max="3059" width="0.85546875" style="594" customWidth="1"/>
    <col min="3060" max="3060" width="8.7109375" style="594" customWidth="1"/>
    <col min="3061" max="3061" width="0.7109375" style="594" customWidth="1"/>
    <col min="3062" max="3062" width="0.140625" style="594" customWidth="1"/>
    <col min="3063" max="3063" width="17.7109375" style="594" customWidth="1"/>
    <col min="3064" max="3064" width="21" style="594" customWidth="1"/>
    <col min="3065" max="3065" width="0.85546875" style="594" customWidth="1"/>
    <col min="3066" max="3067" width="14.7109375" style="594" customWidth="1"/>
    <col min="3068" max="3068" width="0.85546875" style="594" customWidth="1"/>
    <col min="3069" max="3070" width="14.7109375" style="594" customWidth="1"/>
    <col min="3071" max="3071" width="0.85546875" style="594" customWidth="1"/>
    <col min="3072" max="3072" width="14.7109375" style="594" customWidth="1"/>
    <col min="3073" max="3073" width="0.85546875" style="594" customWidth="1"/>
    <col min="3074" max="3078" width="6.7109375" style="594" customWidth="1"/>
    <col min="3079" max="3312" width="11.42578125" style="594"/>
    <col min="3313" max="3313" width="4" style="594" customWidth="1"/>
    <col min="3314" max="3314" width="30.7109375" style="594" customWidth="1"/>
    <col min="3315" max="3315" width="0.85546875" style="594" customWidth="1"/>
    <col min="3316" max="3316" width="8.7109375" style="594" customWidth="1"/>
    <col min="3317" max="3317" width="0.7109375" style="594" customWidth="1"/>
    <col min="3318" max="3318" width="0.140625" style="594" customWidth="1"/>
    <col min="3319" max="3319" width="17.7109375" style="594" customWidth="1"/>
    <col min="3320" max="3320" width="21" style="594" customWidth="1"/>
    <col min="3321" max="3321" width="0.85546875" style="594" customWidth="1"/>
    <col min="3322" max="3323" width="14.7109375" style="594" customWidth="1"/>
    <col min="3324" max="3324" width="0.85546875" style="594" customWidth="1"/>
    <col min="3325" max="3326" width="14.7109375" style="594" customWidth="1"/>
    <col min="3327" max="3327" width="0.85546875" style="594" customWidth="1"/>
    <col min="3328" max="3328" width="14.7109375" style="594" customWidth="1"/>
    <col min="3329" max="3329" width="0.85546875" style="594" customWidth="1"/>
    <col min="3330" max="3334" width="6.7109375" style="594" customWidth="1"/>
    <col min="3335" max="3568" width="11.42578125" style="594"/>
    <col min="3569" max="3569" width="4" style="594" customWidth="1"/>
    <col min="3570" max="3570" width="30.7109375" style="594" customWidth="1"/>
    <col min="3571" max="3571" width="0.85546875" style="594" customWidth="1"/>
    <col min="3572" max="3572" width="8.7109375" style="594" customWidth="1"/>
    <col min="3573" max="3573" width="0.7109375" style="594" customWidth="1"/>
    <col min="3574" max="3574" width="0.140625" style="594" customWidth="1"/>
    <col min="3575" max="3575" width="17.7109375" style="594" customWidth="1"/>
    <col min="3576" max="3576" width="21" style="594" customWidth="1"/>
    <col min="3577" max="3577" width="0.85546875" style="594" customWidth="1"/>
    <col min="3578" max="3579" width="14.7109375" style="594" customWidth="1"/>
    <col min="3580" max="3580" width="0.85546875" style="594" customWidth="1"/>
    <col min="3581" max="3582" width="14.7109375" style="594" customWidth="1"/>
    <col min="3583" max="3583" width="0.85546875" style="594" customWidth="1"/>
    <col min="3584" max="3584" width="14.7109375" style="594" customWidth="1"/>
    <col min="3585" max="3585" width="0.85546875" style="594" customWidth="1"/>
    <col min="3586" max="3590" width="6.7109375" style="594" customWidth="1"/>
    <col min="3591" max="3824" width="11.42578125" style="594"/>
    <col min="3825" max="3825" width="4" style="594" customWidth="1"/>
    <col min="3826" max="3826" width="30.7109375" style="594" customWidth="1"/>
    <col min="3827" max="3827" width="0.85546875" style="594" customWidth="1"/>
    <col min="3828" max="3828" width="8.7109375" style="594" customWidth="1"/>
    <col min="3829" max="3829" width="0.7109375" style="594" customWidth="1"/>
    <col min="3830" max="3830" width="0.140625" style="594" customWidth="1"/>
    <col min="3831" max="3831" width="17.7109375" style="594" customWidth="1"/>
    <col min="3832" max="3832" width="21" style="594" customWidth="1"/>
    <col min="3833" max="3833" width="0.85546875" style="594" customWidth="1"/>
    <col min="3834" max="3835" width="14.7109375" style="594" customWidth="1"/>
    <col min="3836" max="3836" width="0.85546875" style="594" customWidth="1"/>
    <col min="3837" max="3838" width="14.7109375" style="594" customWidth="1"/>
    <col min="3839" max="3839" width="0.85546875" style="594" customWidth="1"/>
    <col min="3840" max="3840" width="14.7109375" style="594" customWidth="1"/>
    <col min="3841" max="3841" width="0.85546875" style="594" customWidth="1"/>
    <col min="3842" max="3846" width="6.7109375" style="594" customWidth="1"/>
    <col min="3847" max="4080" width="11.42578125" style="594"/>
    <col min="4081" max="4081" width="4" style="594" customWidth="1"/>
    <col min="4082" max="4082" width="30.7109375" style="594" customWidth="1"/>
    <col min="4083" max="4083" width="0.85546875" style="594" customWidth="1"/>
    <col min="4084" max="4084" width="8.7109375" style="594" customWidth="1"/>
    <col min="4085" max="4085" width="0.7109375" style="594" customWidth="1"/>
    <col min="4086" max="4086" width="0.140625" style="594" customWidth="1"/>
    <col min="4087" max="4087" width="17.7109375" style="594" customWidth="1"/>
    <col min="4088" max="4088" width="21" style="594" customWidth="1"/>
    <col min="4089" max="4089" width="0.85546875" style="594" customWidth="1"/>
    <col min="4090" max="4091" width="14.7109375" style="594" customWidth="1"/>
    <col min="4092" max="4092" width="0.85546875" style="594" customWidth="1"/>
    <col min="4093" max="4094" width="14.7109375" style="594" customWidth="1"/>
    <col min="4095" max="4095" width="0.85546875" style="594" customWidth="1"/>
    <col min="4096" max="4096" width="14.7109375" style="594" customWidth="1"/>
    <col min="4097" max="4097" width="0.85546875" style="594" customWidth="1"/>
    <col min="4098" max="4102" width="6.7109375" style="594" customWidth="1"/>
    <col min="4103" max="4336" width="11.42578125" style="594"/>
    <col min="4337" max="4337" width="4" style="594" customWidth="1"/>
    <col min="4338" max="4338" width="30.7109375" style="594" customWidth="1"/>
    <col min="4339" max="4339" width="0.85546875" style="594" customWidth="1"/>
    <col min="4340" max="4340" width="8.7109375" style="594" customWidth="1"/>
    <col min="4341" max="4341" width="0.7109375" style="594" customWidth="1"/>
    <col min="4342" max="4342" width="0.140625" style="594" customWidth="1"/>
    <col min="4343" max="4343" width="17.7109375" style="594" customWidth="1"/>
    <col min="4344" max="4344" width="21" style="594" customWidth="1"/>
    <col min="4345" max="4345" width="0.85546875" style="594" customWidth="1"/>
    <col min="4346" max="4347" width="14.7109375" style="594" customWidth="1"/>
    <col min="4348" max="4348" width="0.85546875" style="594" customWidth="1"/>
    <col min="4349" max="4350" width="14.7109375" style="594" customWidth="1"/>
    <col min="4351" max="4351" width="0.85546875" style="594" customWidth="1"/>
    <col min="4352" max="4352" width="14.7109375" style="594" customWidth="1"/>
    <col min="4353" max="4353" width="0.85546875" style="594" customWidth="1"/>
    <col min="4354" max="4358" width="6.7109375" style="594" customWidth="1"/>
    <col min="4359" max="4592" width="11.42578125" style="594"/>
    <col min="4593" max="4593" width="4" style="594" customWidth="1"/>
    <col min="4594" max="4594" width="30.7109375" style="594" customWidth="1"/>
    <col min="4595" max="4595" width="0.85546875" style="594" customWidth="1"/>
    <col min="4596" max="4596" width="8.7109375" style="594" customWidth="1"/>
    <col min="4597" max="4597" width="0.7109375" style="594" customWidth="1"/>
    <col min="4598" max="4598" width="0.140625" style="594" customWidth="1"/>
    <col min="4599" max="4599" width="17.7109375" style="594" customWidth="1"/>
    <col min="4600" max="4600" width="21" style="594" customWidth="1"/>
    <col min="4601" max="4601" width="0.85546875" style="594" customWidth="1"/>
    <col min="4602" max="4603" width="14.7109375" style="594" customWidth="1"/>
    <col min="4604" max="4604" width="0.85546875" style="594" customWidth="1"/>
    <col min="4605" max="4606" width="14.7109375" style="594" customWidth="1"/>
    <col min="4607" max="4607" width="0.85546875" style="594" customWidth="1"/>
    <col min="4608" max="4608" width="14.7109375" style="594" customWidth="1"/>
    <col min="4609" max="4609" width="0.85546875" style="594" customWidth="1"/>
    <col min="4610" max="4614" width="6.7109375" style="594" customWidth="1"/>
    <col min="4615" max="4848" width="11.42578125" style="594"/>
    <col min="4849" max="4849" width="4" style="594" customWidth="1"/>
    <col min="4850" max="4850" width="30.7109375" style="594" customWidth="1"/>
    <col min="4851" max="4851" width="0.85546875" style="594" customWidth="1"/>
    <col min="4852" max="4852" width="8.7109375" style="594" customWidth="1"/>
    <col min="4853" max="4853" width="0.7109375" style="594" customWidth="1"/>
    <col min="4854" max="4854" width="0.140625" style="594" customWidth="1"/>
    <col min="4855" max="4855" width="17.7109375" style="594" customWidth="1"/>
    <col min="4856" max="4856" width="21" style="594" customWidth="1"/>
    <col min="4857" max="4857" width="0.85546875" style="594" customWidth="1"/>
    <col min="4858" max="4859" width="14.7109375" style="594" customWidth="1"/>
    <col min="4860" max="4860" width="0.85546875" style="594" customWidth="1"/>
    <col min="4861" max="4862" width="14.7109375" style="594" customWidth="1"/>
    <col min="4863" max="4863" width="0.85546875" style="594" customWidth="1"/>
    <col min="4864" max="4864" width="14.7109375" style="594" customWidth="1"/>
    <col min="4865" max="4865" width="0.85546875" style="594" customWidth="1"/>
    <col min="4866" max="4870" width="6.7109375" style="594" customWidth="1"/>
    <col min="4871" max="5104" width="11.42578125" style="594"/>
    <col min="5105" max="5105" width="4" style="594" customWidth="1"/>
    <col min="5106" max="5106" width="30.7109375" style="594" customWidth="1"/>
    <col min="5107" max="5107" width="0.85546875" style="594" customWidth="1"/>
    <col min="5108" max="5108" width="8.7109375" style="594" customWidth="1"/>
    <col min="5109" max="5109" width="0.7109375" style="594" customWidth="1"/>
    <col min="5110" max="5110" width="0.140625" style="594" customWidth="1"/>
    <col min="5111" max="5111" width="17.7109375" style="594" customWidth="1"/>
    <col min="5112" max="5112" width="21" style="594" customWidth="1"/>
    <col min="5113" max="5113" width="0.85546875" style="594" customWidth="1"/>
    <col min="5114" max="5115" width="14.7109375" style="594" customWidth="1"/>
    <col min="5116" max="5116" width="0.85546875" style="594" customWidth="1"/>
    <col min="5117" max="5118" width="14.7109375" style="594" customWidth="1"/>
    <col min="5119" max="5119" width="0.85546875" style="594" customWidth="1"/>
    <col min="5120" max="5120" width="14.7109375" style="594" customWidth="1"/>
    <col min="5121" max="5121" width="0.85546875" style="594" customWidth="1"/>
    <col min="5122" max="5126" width="6.7109375" style="594" customWidth="1"/>
    <col min="5127" max="5360" width="11.42578125" style="594"/>
    <col min="5361" max="5361" width="4" style="594" customWidth="1"/>
    <col min="5362" max="5362" width="30.7109375" style="594" customWidth="1"/>
    <col min="5363" max="5363" width="0.85546875" style="594" customWidth="1"/>
    <col min="5364" max="5364" width="8.7109375" style="594" customWidth="1"/>
    <col min="5365" max="5365" width="0.7109375" style="594" customWidth="1"/>
    <col min="5366" max="5366" width="0.140625" style="594" customWidth="1"/>
    <col min="5367" max="5367" width="17.7109375" style="594" customWidth="1"/>
    <col min="5368" max="5368" width="21" style="594" customWidth="1"/>
    <col min="5369" max="5369" width="0.85546875" style="594" customWidth="1"/>
    <col min="5370" max="5371" width="14.7109375" style="594" customWidth="1"/>
    <col min="5372" max="5372" width="0.85546875" style="594" customWidth="1"/>
    <col min="5373" max="5374" width="14.7109375" style="594" customWidth="1"/>
    <col min="5375" max="5375" width="0.85546875" style="594" customWidth="1"/>
    <col min="5376" max="5376" width="14.7109375" style="594" customWidth="1"/>
    <col min="5377" max="5377" width="0.85546875" style="594" customWidth="1"/>
    <col min="5378" max="5382" width="6.7109375" style="594" customWidth="1"/>
    <col min="5383" max="5616" width="11.42578125" style="594"/>
    <col min="5617" max="5617" width="4" style="594" customWidth="1"/>
    <col min="5618" max="5618" width="30.7109375" style="594" customWidth="1"/>
    <col min="5619" max="5619" width="0.85546875" style="594" customWidth="1"/>
    <col min="5620" max="5620" width="8.7109375" style="594" customWidth="1"/>
    <col min="5621" max="5621" width="0.7109375" style="594" customWidth="1"/>
    <col min="5622" max="5622" width="0.140625" style="594" customWidth="1"/>
    <col min="5623" max="5623" width="17.7109375" style="594" customWidth="1"/>
    <col min="5624" max="5624" width="21" style="594" customWidth="1"/>
    <col min="5625" max="5625" width="0.85546875" style="594" customWidth="1"/>
    <col min="5626" max="5627" width="14.7109375" style="594" customWidth="1"/>
    <col min="5628" max="5628" width="0.85546875" style="594" customWidth="1"/>
    <col min="5629" max="5630" width="14.7109375" style="594" customWidth="1"/>
    <col min="5631" max="5631" width="0.85546875" style="594" customWidth="1"/>
    <col min="5632" max="5632" width="14.7109375" style="594" customWidth="1"/>
    <col min="5633" max="5633" width="0.85546875" style="594" customWidth="1"/>
    <col min="5634" max="5638" width="6.7109375" style="594" customWidth="1"/>
    <col min="5639" max="5872" width="11.42578125" style="594"/>
    <col min="5873" max="5873" width="4" style="594" customWidth="1"/>
    <col min="5874" max="5874" width="30.7109375" style="594" customWidth="1"/>
    <col min="5875" max="5875" width="0.85546875" style="594" customWidth="1"/>
    <col min="5876" max="5876" width="8.7109375" style="594" customWidth="1"/>
    <col min="5877" max="5877" width="0.7109375" style="594" customWidth="1"/>
    <col min="5878" max="5878" width="0.140625" style="594" customWidth="1"/>
    <col min="5879" max="5879" width="17.7109375" style="594" customWidth="1"/>
    <col min="5880" max="5880" width="21" style="594" customWidth="1"/>
    <col min="5881" max="5881" width="0.85546875" style="594" customWidth="1"/>
    <col min="5882" max="5883" width="14.7109375" style="594" customWidth="1"/>
    <col min="5884" max="5884" width="0.85546875" style="594" customWidth="1"/>
    <col min="5885" max="5886" width="14.7109375" style="594" customWidth="1"/>
    <col min="5887" max="5887" width="0.85546875" style="594" customWidth="1"/>
    <col min="5888" max="5888" width="14.7109375" style="594" customWidth="1"/>
    <col min="5889" max="5889" width="0.85546875" style="594" customWidth="1"/>
    <col min="5890" max="5894" width="6.7109375" style="594" customWidth="1"/>
    <col min="5895" max="6128" width="11.42578125" style="594"/>
    <col min="6129" max="6129" width="4" style="594" customWidth="1"/>
    <col min="6130" max="6130" width="30.7109375" style="594" customWidth="1"/>
    <col min="6131" max="6131" width="0.85546875" style="594" customWidth="1"/>
    <col min="6132" max="6132" width="8.7109375" style="594" customWidth="1"/>
    <col min="6133" max="6133" width="0.7109375" style="594" customWidth="1"/>
    <col min="6134" max="6134" width="0.140625" style="594" customWidth="1"/>
    <col min="6135" max="6135" width="17.7109375" style="594" customWidth="1"/>
    <col min="6136" max="6136" width="21" style="594" customWidth="1"/>
    <col min="6137" max="6137" width="0.85546875" style="594" customWidth="1"/>
    <col min="6138" max="6139" width="14.7109375" style="594" customWidth="1"/>
    <col min="6140" max="6140" width="0.85546875" style="594" customWidth="1"/>
    <col min="6141" max="6142" width="14.7109375" style="594" customWidth="1"/>
    <col min="6143" max="6143" width="0.85546875" style="594" customWidth="1"/>
    <col min="6144" max="6144" width="14.7109375" style="594" customWidth="1"/>
    <col min="6145" max="6145" width="0.85546875" style="594" customWidth="1"/>
    <col min="6146" max="6150" width="6.7109375" style="594" customWidth="1"/>
    <col min="6151" max="6384" width="11.42578125" style="594"/>
    <col min="6385" max="6385" width="4" style="594" customWidth="1"/>
    <col min="6386" max="6386" width="30.7109375" style="594" customWidth="1"/>
    <col min="6387" max="6387" width="0.85546875" style="594" customWidth="1"/>
    <col min="6388" max="6388" width="8.7109375" style="594" customWidth="1"/>
    <col min="6389" max="6389" width="0.7109375" style="594" customWidth="1"/>
    <col min="6390" max="6390" width="0.140625" style="594" customWidth="1"/>
    <col min="6391" max="6391" width="17.7109375" style="594" customWidth="1"/>
    <col min="6392" max="6392" width="21" style="594" customWidth="1"/>
    <col min="6393" max="6393" width="0.85546875" style="594" customWidth="1"/>
    <col min="6394" max="6395" width="14.7109375" style="594" customWidth="1"/>
    <col min="6396" max="6396" width="0.85546875" style="594" customWidth="1"/>
    <col min="6397" max="6398" width="14.7109375" style="594" customWidth="1"/>
    <col min="6399" max="6399" width="0.85546875" style="594" customWidth="1"/>
    <col min="6400" max="6400" width="14.7109375" style="594" customWidth="1"/>
    <col min="6401" max="6401" width="0.85546875" style="594" customWidth="1"/>
    <col min="6402" max="6406" width="6.7109375" style="594" customWidth="1"/>
    <col min="6407" max="6640" width="11.42578125" style="594"/>
    <col min="6641" max="6641" width="4" style="594" customWidth="1"/>
    <col min="6642" max="6642" width="30.7109375" style="594" customWidth="1"/>
    <col min="6643" max="6643" width="0.85546875" style="594" customWidth="1"/>
    <col min="6644" max="6644" width="8.7109375" style="594" customWidth="1"/>
    <col min="6645" max="6645" width="0.7109375" style="594" customWidth="1"/>
    <col min="6646" max="6646" width="0.140625" style="594" customWidth="1"/>
    <col min="6647" max="6647" width="17.7109375" style="594" customWidth="1"/>
    <col min="6648" max="6648" width="21" style="594" customWidth="1"/>
    <col min="6649" max="6649" width="0.85546875" style="594" customWidth="1"/>
    <col min="6650" max="6651" width="14.7109375" style="594" customWidth="1"/>
    <col min="6652" max="6652" width="0.85546875" style="594" customWidth="1"/>
    <col min="6653" max="6654" width="14.7109375" style="594" customWidth="1"/>
    <col min="6655" max="6655" width="0.85546875" style="594" customWidth="1"/>
    <col min="6656" max="6656" width="14.7109375" style="594" customWidth="1"/>
    <col min="6657" max="6657" width="0.85546875" style="594" customWidth="1"/>
    <col min="6658" max="6662" width="6.7109375" style="594" customWidth="1"/>
    <col min="6663" max="6896" width="11.42578125" style="594"/>
    <col min="6897" max="6897" width="4" style="594" customWidth="1"/>
    <col min="6898" max="6898" width="30.7109375" style="594" customWidth="1"/>
    <col min="6899" max="6899" width="0.85546875" style="594" customWidth="1"/>
    <col min="6900" max="6900" width="8.7109375" style="594" customWidth="1"/>
    <col min="6901" max="6901" width="0.7109375" style="594" customWidth="1"/>
    <col min="6902" max="6902" width="0.140625" style="594" customWidth="1"/>
    <col min="6903" max="6903" width="17.7109375" style="594" customWidth="1"/>
    <col min="6904" max="6904" width="21" style="594" customWidth="1"/>
    <col min="6905" max="6905" width="0.85546875" style="594" customWidth="1"/>
    <col min="6906" max="6907" width="14.7109375" style="594" customWidth="1"/>
    <col min="6908" max="6908" width="0.85546875" style="594" customWidth="1"/>
    <col min="6909" max="6910" width="14.7109375" style="594" customWidth="1"/>
    <col min="6911" max="6911" width="0.85546875" style="594" customWidth="1"/>
    <col min="6912" max="6912" width="14.7109375" style="594" customWidth="1"/>
    <col min="6913" max="6913" width="0.85546875" style="594" customWidth="1"/>
    <col min="6914" max="6918" width="6.7109375" style="594" customWidth="1"/>
    <col min="6919" max="7152" width="11.42578125" style="594"/>
    <col min="7153" max="7153" width="4" style="594" customWidth="1"/>
    <col min="7154" max="7154" width="30.7109375" style="594" customWidth="1"/>
    <col min="7155" max="7155" width="0.85546875" style="594" customWidth="1"/>
    <col min="7156" max="7156" width="8.7109375" style="594" customWidth="1"/>
    <col min="7157" max="7157" width="0.7109375" style="594" customWidth="1"/>
    <col min="7158" max="7158" width="0.140625" style="594" customWidth="1"/>
    <col min="7159" max="7159" width="17.7109375" style="594" customWidth="1"/>
    <col min="7160" max="7160" width="21" style="594" customWidth="1"/>
    <col min="7161" max="7161" width="0.85546875" style="594" customWidth="1"/>
    <col min="7162" max="7163" width="14.7109375" style="594" customWidth="1"/>
    <col min="7164" max="7164" width="0.85546875" style="594" customWidth="1"/>
    <col min="7165" max="7166" width="14.7109375" style="594" customWidth="1"/>
    <col min="7167" max="7167" width="0.85546875" style="594" customWidth="1"/>
    <col min="7168" max="7168" width="14.7109375" style="594" customWidth="1"/>
    <col min="7169" max="7169" width="0.85546875" style="594" customWidth="1"/>
    <col min="7170" max="7174" width="6.7109375" style="594" customWidth="1"/>
    <col min="7175" max="7408" width="11.42578125" style="594"/>
    <col min="7409" max="7409" width="4" style="594" customWidth="1"/>
    <col min="7410" max="7410" width="30.7109375" style="594" customWidth="1"/>
    <col min="7411" max="7411" width="0.85546875" style="594" customWidth="1"/>
    <col min="7412" max="7412" width="8.7109375" style="594" customWidth="1"/>
    <col min="7413" max="7413" width="0.7109375" style="594" customWidth="1"/>
    <col min="7414" max="7414" width="0.140625" style="594" customWidth="1"/>
    <col min="7415" max="7415" width="17.7109375" style="594" customWidth="1"/>
    <col min="7416" max="7416" width="21" style="594" customWidth="1"/>
    <col min="7417" max="7417" width="0.85546875" style="594" customWidth="1"/>
    <col min="7418" max="7419" width="14.7109375" style="594" customWidth="1"/>
    <col min="7420" max="7420" width="0.85546875" style="594" customWidth="1"/>
    <col min="7421" max="7422" width="14.7109375" style="594" customWidth="1"/>
    <col min="7423" max="7423" width="0.85546875" style="594" customWidth="1"/>
    <col min="7424" max="7424" width="14.7109375" style="594" customWidth="1"/>
    <col min="7425" max="7425" width="0.85546875" style="594" customWidth="1"/>
    <col min="7426" max="7430" width="6.7109375" style="594" customWidth="1"/>
    <col min="7431" max="7664" width="11.42578125" style="594"/>
    <col min="7665" max="7665" width="4" style="594" customWidth="1"/>
    <col min="7666" max="7666" width="30.7109375" style="594" customWidth="1"/>
    <col min="7667" max="7667" width="0.85546875" style="594" customWidth="1"/>
    <col min="7668" max="7668" width="8.7109375" style="594" customWidth="1"/>
    <col min="7669" max="7669" width="0.7109375" style="594" customWidth="1"/>
    <col min="7670" max="7670" width="0.140625" style="594" customWidth="1"/>
    <col min="7671" max="7671" width="17.7109375" style="594" customWidth="1"/>
    <col min="7672" max="7672" width="21" style="594" customWidth="1"/>
    <col min="7673" max="7673" width="0.85546875" style="594" customWidth="1"/>
    <col min="7674" max="7675" width="14.7109375" style="594" customWidth="1"/>
    <col min="7676" max="7676" width="0.85546875" style="594" customWidth="1"/>
    <col min="7677" max="7678" width="14.7109375" style="594" customWidth="1"/>
    <col min="7679" max="7679" width="0.85546875" style="594" customWidth="1"/>
    <col min="7680" max="7680" width="14.7109375" style="594" customWidth="1"/>
    <col min="7681" max="7681" width="0.85546875" style="594" customWidth="1"/>
    <col min="7682" max="7686" width="6.7109375" style="594" customWidth="1"/>
    <col min="7687" max="7920" width="11.42578125" style="594"/>
    <col min="7921" max="7921" width="4" style="594" customWidth="1"/>
    <col min="7922" max="7922" width="30.7109375" style="594" customWidth="1"/>
    <col min="7923" max="7923" width="0.85546875" style="594" customWidth="1"/>
    <col min="7924" max="7924" width="8.7109375" style="594" customWidth="1"/>
    <col min="7925" max="7925" width="0.7109375" style="594" customWidth="1"/>
    <col min="7926" max="7926" width="0.140625" style="594" customWidth="1"/>
    <col min="7927" max="7927" width="17.7109375" style="594" customWidth="1"/>
    <col min="7928" max="7928" width="21" style="594" customWidth="1"/>
    <col min="7929" max="7929" width="0.85546875" style="594" customWidth="1"/>
    <col min="7930" max="7931" width="14.7109375" style="594" customWidth="1"/>
    <col min="7932" max="7932" width="0.85546875" style="594" customWidth="1"/>
    <col min="7933" max="7934" width="14.7109375" style="594" customWidth="1"/>
    <col min="7935" max="7935" width="0.85546875" style="594" customWidth="1"/>
    <col min="7936" max="7936" width="14.7109375" style="594" customWidth="1"/>
    <col min="7937" max="7937" width="0.85546875" style="594" customWidth="1"/>
    <col min="7938" max="7942" width="6.7109375" style="594" customWidth="1"/>
    <col min="7943" max="8176" width="11.42578125" style="594"/>
    <col min="8177" max="8177" width="4" style="594" customWidth="1"/>
    <col min="8178" max="8178" width="30.7109375" style="594" customWidth="1"/>
    <col min="8179" max="8179" width="0.85546875" style="594" customWidth="1"/>
    <col min="8180" max="8180" width="8.7109375" style="594" customWidth="1"/>
    <col min="8181" max="8181" width="0.7109375" style="594" customWidth="1"/>
    <col min="8182" max="8182" width="0.140625" style="594" customWidth="1"/>
    <col min="8183" max="8183" width="17.7109375" style="594" customWidth="1"/>
    <col min="8184" max="8184" width="21" style="594" customWidth="1"/>
    <col min="8185" max="8185" width="0.85546875" style="594" customWidth="1"/>
    <col min="8186" max="8187" width="14.7109375" style="594" customWidth="1"/>
    <col min="8188" max="8188" width="0.85546875" style="594" customWidth="1"/>
    <col min="8189" max="8190" width="14.7109375" style="594" customWidth="1"/>
    <col min="8191" max="8191" width="0.85546875" style="594" customWidth="1"/>
    <col min="8192" max="8192" width="14.7109375" style="594" customWidth="1"/>
    <col min="8193" max="8193" width="0.85546875" style="594" customWidth="1"/>
    <col min="8194" max="8198" width="6.7109375" style="594" customWidth="1"/>
    <col min="8199" max="8432" width="11.42578125" style="594"/>
    <col min="8433" max="8433" width="4" style="594" customWidth="1"/>
    <col min="8434" max="8434" width="30.7109375" style="594" customWidth="1"/>
    <col min="8435" max="8435" width="0.85546875" style="594" customWidth="1"/>
    <col min="8436" max="8436" width="8.7109375" style="594" customWidth="1"/>
    <col min="8437" max="8437" width="0.7109375" style="594" customWidth="1"/>
    <col min="8438" max="8438" width="0.140625" style="594" customWidth="1"/>
    <col min="8439" max="8439" width="17.7109375" style="594" customWidth="1"/>
    <col min="8440" max="8440" width="21" style="594" customWidth="1"/>
    <col min="8441" max="8441" width="0.85546875" style="594" customWidth="1"/>
    <col min="8442" max="8443" width="14.7109375" style="594" customWidth="1"/>
    <col min="8444" max="8444" width="0.85546875" style="594" customWidth="1"/>
    <col min="8445" max="8446" width="14.7109375" style="594" customWidth="1"/>
    <col min="8447" max="8447" width="0.85546875" style="594" customWidth="1"/>
    <col min="8448" max="8448" width="14.7109375" style="594" customWidth="1"/>
    <col min="8449" max="8449" width="0.85546875" style="594" customWidth="1"/>
    <col min="8450" max="8454" width="6.7109375" style="594" customWidth="1"/>
    <col min="8455" max="8688" width="11.42578125" style="594"/>
    <col min="8689" max="8689" width="4" style="594" customWidth="1"/>
    <col min="8690" max="8690" width="30.7109375" style="594" customWidth="1"/>
    <col min="8691" max="8691" width="0.85546875" style="594" customWidth="1"/>
    <col min="8692" max="8692" width="8.7109375" style="594" customWidth="1"/>
    <col min="8693" max="8693" width="0.7109375" style="594" customWidth="1"/>
    <col min="8694" max="8694" width="0.140625" style="594" customWidth="1"/>
    <col min="8695" max="8695" width="17.7109375" style="594" customWidth="1"/>
    <col min="8696" max="8696" width="21" style="594" customWidth="1"/>
    <col min="8697" max="8697" width="0.85546875" style="594" customWidth="1"/>
    <col min="8698" max="8699" width="14.7109375" style="594" customWidth="1"/>
    <col min="8700" max="8700" width="0.85546875" style="594" customWidth="1"/>
    <col min="8701" max="8702" width="14.7109375" style="594" customWidth="1"/>
    <col min="8703" max="8703" width="0.85546875" style="594" customWidth="1"/>
    <col min="8704" max="8704" width="14.7109375" style="594" customWidth="1"/>
    <col min="8705" max="8705" width="0.85546875" style="594" customWidth="1"/>
    <col min="8706" max="8710" width="6.7109375" style="594" customWidth="1"/>
    <col min="8711" max="8944" width="11.42578125" style="594"/>
    <col min="8945" max="8945" width="4" style="594" customWidth="1"/>
    <col min="8946" max="8946" width="30.7109375" style="594" customWidth="1"/>
    <col min="8947" max="8947" width="0.85546875" style="594" customWidth="1"/>
    <col min="8948" max="8948" width="8.7109375" style="594" customWidth="1"/>
    <col min="8949" max="8949" width="0.7109375" style="594" customWidth="1"/>
    <col min="8950" max="8950" width="0.140625" style="594" customWidth="1"/>
    <col min="8951" max="8951" width="17.7109375" style="594" customWidth="1"/>
    <col min="8952" max="8952" width="21" style="594" customWidth="1"/>
    <col min="8953" max="8953" width="0.85546875" style="594" customWidth="1"/>
    <col min="8954" max="8955" width="14.7109375" style="594" customWidth="1"/>
    <col min="8956" max="8956" width="0.85546875" style="594" customWidth="1"/>
    <col min="8957" max="8958" width="14.7109375" style="594" customWidth="1"/>
    <col min="8959" max="8959" width="0.85546875" style="594" customWidth="1"/>
    <col min="8960" max="8960" width="14.7109375" style="594" customWidth="1"/>
    <col min="8961" max="8961" width="0.85546875" style="594" customWidth="1"/>
    <col min="8962" max="8966" width="6.7109375" style="594" customWidth="1"/>
    <col min="8967" max="9200" width="11.42578125" style="594"/>
    <col min="9201" max="9201" width="4" style="594" customWidth="1"/>
    <col min="9202" max="9202" width="30.7109375" style="594" customWidth="1"/>
    <col min="9203" max="9203" width="0.85546875" style="594" customWidth="1"/>
    <col min="9204" max="9204" width="8.7109375" style="594" customWidth="1"/>
    <col min="9205" max="9205" width="0.7109375" style="594" customWidth="1"/>
    <col min="9206" max="9206" width="0.140625" style="594" customWidth="1"/>
    <col min="9207" max="9207" width="17.7109375" style="594" customWidth="1"/>
    <col min="9208" max="9208" width="21" style="594" customWidth="1"/>
    <col min="9209" max="9209" width="0.85546875" style="594" customWidth="1"/>
    <col min="9210" max="9211" width="14.7109375" style="594" customWidth="1"/>
    <col min="9212" max="9212" width="0.85546875" style="594" customWidth="1"/>
    <col min="9213" max="9214" width="14.7109375" style="594" customWidth="1"/>
    <col min="9215" max="9215" width="0.85546875" style="594" customWidth="1"/>
    <col min="9216" max="9216" width="14.7109375" style="594" customWidth="1"/>
    <col min="9217" max="9217" width="0.85546875" style="594" customWidth="1"/>
    <col min="9218" max="9222" width="6.7109375" style="594" customWidth="1"/>
    <col min="9223" max="9456" width="11.42578125" style="594"/>
    <col min="9457" max="9457" width="4" style="594" customWidth="1"/>
    <col min="9458" max="9458" width="30.7109375" style="594" customWidth="1"/>
    <col min="9459" max="9459" width="0.85546875" style="594" customWidth="1"/>
    <col min="9460" max="9460" width="8.7109375" style="594" customWidth="1"/>
    <col min="9461" max="9461" width="0.7109375" style="594" customWidth="1"/>
    <col min="9462" max="9462" width="0.140625" style="594" customWidth="1"/>
    <col min="9463" max="9463" width="17.7109375" style="594" customWidth="1"/>
    <col min="9464" max="9464" width="21" style="594" customWidth="1"/>
    <col min="9465" max="9465" width="0.85546875" style="594" customWidth="1"/>
    <col min="9466" max="9467" width="14.7109375" style="594" customWidth="1"/>
    <col min="9468" max="9468" width="0.85546875" style="594" customWidth="1"/>
    <col min="9469" max="9470" width="14.7109375" style="594" customWidth="1"/>
    <col min="9471" max="9471" width="0.85546875" style="594" customWidth="1"/>
    <col min="9472" max="9472" width="14.7109375" style="594" customWidth="1"/>
    <col min="9473" max="9473" width="0.85546875" style="594" customWidth="1"/>
    <col min="9474" max="9478" width="6.7109375" style="594" customWidth="1"/>
    <col min="9479" max="9712" width="11.42578125" style="594"/>
    <col min="9713" max="9713" width="4" style="594" customWidth="1"/>
    <col min="9714" max="9714" width="30.7109375" style="594" customWidth="1"/>
    <col min="9715" max="9715" width="0.85546875" style="594" customWidth="1"/>
    <col min="9716" max="9716" width="8.7109375" style="594" customWidth="1"/>
    <col min="9717" max="9717" width="0.7109375" style="594" customWidth="1"/>
    <col min="9718" max="9718" width="0.140625" style="594" customWidth="1"/>
    <col min="9719" max="9719" width="17.7109375" style="594" customWidth="1"/>
    <col min="9720" max="9720" width="21" style="594" customWidth="1"/>
    <col min="9721" max="9721" width="0.85546875" style="594" customWidth="1"/>
    <col min="9722" max="9723" width="14.7109375" style="594" customWidth="1"/>
    <col min="9724" max="9724" width="0.85546875" style="594" customWidth="1"/>
    <col min="9725" max="9726" width="14.7109375" style="594" customWidth="1"/>
    <col min="9727" max="9727" width="0.85546875" style="594" customWidth="1"/>
    <col min="9728" max="9728" width="14.7109375" style="594" customWidth="1"/>
    <col min="9729" max="9729" width="0.85546875" style="594" customWidth="1"/>
    <col min="9730" max="9734" width="6.7109375" style="594" customWidth="1"/>
    <col min="9735" max="9968" width="11.42578125" style="594"/>
    <col min="9969" max="9969" width="4" style="594" customWidth="1"/>
    <col min="9970" max="9970" width="30.7109375" style="594" customWidth="1"/>
    <col min="9971" max="9971" width="0.85546875" style="594" customWidth="1"/>
    <col min="9972" max="9972" width="8.7109375" style="594" customWidth="1"/>
    <col min="9973" max="9973" width="0.7109375" style="594" customWidth="1"/>
    <col min="9974" max="9974" width="0.140625" style="594" customWidth="1"/>
    <col min="9975" max="9975" width="17.7109375" style="594" customWidth="1"/>
    <col min="9976" max="9976" width="21" style="594" customWidth="1"/>
    <col min="9977" max="9977" width="0.85546875" style="594" customWidth="1"/>
    <col min="9978" max="9979" width="14.7109375" style="594" customWidth="1"/>
    <col min="9980" max="9980" width="0.85546875" style="594" customWidth="1"/>
    <col min="9981" max="9982" width="14.7109375" style="594" customWidth="1"/>
    <col min="9983" max="9983" width="0.85546875" style="594" customWidth="1"/>
    <col min="9984" max="9984" width="14.7109375" style="594" customWidth="1"/>
    <col min="9985" max="9985" width="0.85546875" style="594" customWidth="1"/>
    <col min="9986" max="9990" width="6.7109375" style="594" customWidth="1"/>
    <col min="9991" max="10224" width="11.42578125" style="594"/>
    <col min="10225" max="10225" width="4" style="594" customWidth="1"/>
    <col min="10226" max="10226" width="30.7109375" style="594" customWidth="1"/>
    <col min="10227" max="10227" width="0.85546875" style="594" customWidth="1"/>
    <col min="10228" max="10228" width="8.7109375" style="594" customWidth="1"/>
    <col min="10229" max="10229" width="0.7109375" style="594" customWidth="1"/>
    <col min="10230" max="10230" width="0.140625" style="594" customWidth="1"/>
    <col min="10231" max="10231" width="17.7109375" style="594" customWidth="1"/>
    <col min="10232" max="10232" width="21" style="594" customWidth="1"/>
    <col min="10233" max="10233" width="0.85546875" style="594" customWidth="1"/>
    <col min="10234" max="10235" width="14.7109375" style="594" customWidth="1"/>
    <col min="10236" max="10236" width="0.85546875" style="594" customWidth="1"/>
    <col min="10237" max="10238" width="14.7109375" style="594" customWidth="1"/>
    <col min="10239" max="10239" width="0.85546875" style="594" customWidth="1"/>
    <col min="10240" max="10240" width="14.7109375" style="594" customWidth="1"/>
    <col min="10241" max="10241" width="0.85546875" style="594" customWidth="1"/>
    <col min="10242" max="10246" width="6.7109375" style="594" customWidth="1"/>
    <col min="10247" max="10480" width="11.42578125" style="594"/>
    <col min="10481" max="10481" width="4" style="594" customWidth="1"/>
    <col min="10482" max="10482" width="30.7109375" style="594" customWidth="1"/>
    <col min="10483" max="10483" width="0.85546875" style="594" customWidth="1"/>
    <col min="10484" max="10484" width="8.7109375" style="594" customWidth="1"/>
    <col min="10485" max="10485" width="0.7109375" style="594" customWidth="1"/>
    <col min="10486" max="10486" width="0.140625" style="594" customWidth="1"/>
    <col min="10487" max="10487" width="17.7109375" style="594" customWidth="1"/>
    <col min="10488" max="10488" width="21" style="594" customWidth="1"/>
    <col min="10489" max="10489" width="0.85546875" style="594" customWidth="1"/>
    <col min="10490" max="10491" width="14.7109375" style="594" customWidth="1"/>
    <col min="10492" max="10492" width="0.85546875" style="594" customWidth="1"/>
    <col min="10493" max="10494" width="14.7109375" style="594" customWidth="1"/>
    <col min="10495" max="10495" width="0.85546875" style="594" customWidth="1"/>
    <col min="10496" max="10496" width="14.7109375" style="594" customWidth="1"/>
    <col min="10497" max="10497" width="0.85546875" style="594" customWidth="1"/>
    <col min="10498" max="10502" width="6.7109375" style="594" customWidth="1"/>
    <col min="10503" max="10736" width="11.42578125" style="594"/>
    <col min="10737" max="10737" width="4" style="594" customWidth="1"/>
    <col min="10738" max="10738" width="30.7109375" style="594" customWidth="1"/>
    <col min="10739" max="10739" width="0.85546875" style="594" customWidth="1"/>
    <col min="10740" max="10740" width="8.7109375" style="594" customWidth="1"/>
    <col min="10741" max="10741" width="0.7109375" style="594" customWidth="1"/>
    <col min="10742" max="10742" width="0.140625" style="594" customWidth="1"/>
    <col min="10743" max="10743" width="17.7109375" style="594" customWidth="1"/>
    <col min="10744" max="10744" width="21" style="594" customWidth="1"/>
    <col min="10745" max="10745" width="0.85546875" style="594" customWidth="1"/>
    <col min="10746" max="10747" width="14.7109375" style="594" customWidth="1"/>
    <col min="10748" max="10748" width="0.85546875" style="594" customWidth="1"/>
    <col min="10749" max="10750" width="14.7109375" style="594" customWidth="1"/>
    <col min="10751" max="10751" width="0.85546875" style="594" customWidth="1"/>
    <col min="10752" max="10752" width="14.7109375" style="594" customWidth="1"/>
    <col min="10753" max="10753" width="0.85546875" style="594" customWidth="1"/>
    <col min="10754" max="10758" width="6.7109375" style="594" customWidth="1"/>
    <col min="10759" max="10992" width="11.42578125" style="594"/>
    <col min="10993" max="10993" width="4" style="594" customWidth="1"/>
    <col min="10994" max="10994" width="30.7109375" style="594" customWidth="1"/>
    <col min="10995" max="10995" width="0.85546875" style="594" customWidth="1"/>
    <col min="10996" max="10996" width="8.7109375" style="594" customWidth="1"/>
    <col min="10997" max="10997" width="0.7109375" style="594" customWidth="1"/>
    <col min="10998" max="10998" width="0.140625" style="594" customWidth="1"/>
    <col min="10999" max="10999" width="17.7109375" style="594" customWidth="1"/>
    <col min="11000" max="11000" width="21" style="594" customWidth="1"/>
    <col min="11001" max="11001" width="0.85546875" style="594" customWidth="1"/>
    <col min="11002" max="11003" width="14.7109375" style="594" customWidth="1"/>
    <col min="11004" max="11004" width="0.85546875" style="594" customWidth="1"/>
    <col min="11005" max="11006" width="14.7109375" style="594" customWidth="1"/>
    <col min="11007" max="11007" width="0.85546875" style="594" customWidth="1"/>
    <col min="11008" max="11008" width="14.7109375" style="594" customWidth="1"/>
    <col min="11009" max="11009" width="0.85546875" style="594" customWidth="1"/>
    <col min="11010" max="11014" width="6.7109375" style="594" customWidth="1"/>
    <col min="11015" max="11248" width="11.42578125" style="594"/>
    <col min="11249" max="11249" width="4" style="594" customWidth="1"/>
    <col min="11250" max="11250" width="30.7109375" style="594" customWidth="1"/>
    <col min="11251" max="11251" width="0.85546875" style="594" customWidth="1"/>
    <col min="11252" max="11252" width="8.7109375" style="594" customWidth="1"/>
    <col min="11253" max="11253" width="0.7109375" style="594" customWidth="1"/>
    <col min="11254" max="11254" width="0.140625" style="594" customWidth="1"/>
    <col min="11255" max="11255" width="17.7109375" style="594" customWidth="1"/>
    <col min="11256" max="11256" width="21" style="594" customWidth="1"/>
    <col min="11257" max="11257" width="0.85546875" style="594" customWidth="1"/>
    <col min="11258" max="11259" width="14.7109375" style="594" customWidth="1"/>
    <col min="11260" max="11260" width="0.85546875" style="594" customWidth="1"/>
    <col min="11261" max="11262" width="14.7109375" style="594" customWidth="1"/>
    <col min="11263" max="11263" width="0.85546875" style="594" customWidth="1"/>
    <col min="11264" max="11264" width="14.7109375" style="594" customWidth="1"/>
    <col min="11265" max="11265" width="0.85546875" style="594" customWidth="1"/>
    <col min="11266" max="11270" width="6.7109375" style="594" customWidth="1"/>
    <col min="11271" max="11504" width="11.42578125" style="594"/>
    <col min="11505" max="11505" width="4" style="594" customWidth="1"/>
    <col min="11506" max="11506" width="30.7109375" style="594" customWidth="1"/>
    <col min="11507" max="11507" width="0.85546875" style="594" customWidth="1"/>
    <col min="11508" max="11508" width="8.7109375" style="594" customWidth="1"/>
    <col min="11509" max="11509" width="0.7109375" style="594" customWidth="1"/>
    <col min="11510" max="11510" width="0.140625" style="594" customWidth="1"/>
    <col min="11511" max="11511" width="17.7109375" style="594" customWidth="1"/>
    <col min="11512" max="11512" width="21" style="594" customWidth="1"/>
    <col min="11513" max="11513" width="0.85546875" style="594" customWidth="1"/>
    <col min="11514" max="11515" width="14.7109375" style="594" customWidth="1"/>
    <col min="11516" max="11516" width="0.85546875" style="594" customWidth="1"/>
    <col min="11517" max="11518" width="14.7109375" style="594" customWidth="1"/>
    <col min="11519" max="11519" width="0.85546875" style="594" customWidth="1"/>
    <col min="11520" max="11520" width="14.7109375" style="594" customWidth="1"/>
    <col min="11521" max="11521" width="0.85546875" style="594" customWidth="1"/>
    <col min="11522" max="11526" width="6.7109375" style="594" customWidth="1"/>
    <col min="11527" max="11760" width="11.42578125" style="594"/>
    <col min="11761" max="11761" width="4" style="594" customWidth="1"/>
    <col min="11762" max="11762" width="30.7109375" style="594" customWidth="1"/>
    <col min="11763" max="11763" width="0.85546875" style="594" customWidth="1"/>
    <col min="11764" max="11764" width="8.7109375" style="594" customWidth="1"/>
    <col min="11765" max="11765" width="0.7109375" style="594" customWidth="1"/>
    <col min="11766" max="11766" width="0.140625" style="594" customWidth="1"/>
    <col min="11767" max="11767" width="17.7109375" style="594" customWidth="1"/>
    <col min="11768" max="11768" width="21" style="594" customWidth="1"/>
    <col min="11769" max="11769" width="0.85546875" style="594" customWidth="1"/>
    <col min="11770" max="11771" width="14.7109375" style="594" customWidth="1"/>
    <col min="11772" max="11772" width="0.85546875" style="594" customWidth="1"/>
    <col min="11773" max="11774" width="14.7109375" style="594" customWidth="1"/>
    <col min="11775" max="11775" width="0.85546875" style="594" customWidth="1"/>
    <col min="11776" max="11776" width="14.7109375" style="594" customWidth="1"/>
    <col min="11777" max="11777" width="0.85546875" style="594" customWidth="1"/>
    <col min="11778" max="11782" width="6.7109375" style="594" customWidth="1"/>
    <col min="11783" max="12016" width="11.42578125" style="594"/>
    <col min="12017" max="12017" width="4" style="594" customWidth="1"/>
    <col min="12018" max="12018" width="30.7109375" style="594" customWidth="1"/>
    <col min="12019" max="12019" width="0.85546875" style="594" customWidth="1"/>
    <col min="12020" max="12020" width="8.7109375" style="594" customWidth="1"/>
    <col min="12021" max="12021" width="0.7109375" style="594" customWidth="1"/>
    <col min="12022" max="12022" width="0.140625" style="594" customWidth="1"/>
    <col min="12023" max="12023" width="17.7109375" style="594" customWidth="1"/>
    <col min="12024" max="12024" width="21" style="594" customWidth="1"/>
    <col min="12025" max="12025" width="0.85546875" style="594" customWidth="1"/>
    <col min="12026" max="12027" width="14.7109375" style="594" customWidth="1"/>
    <col min="12028" max="12028" width="0.85546875" style="594" customWidth="1"/>
    <col min="12029" max="12030" width="14.7109375" style="594" customWidth="1"/>
    <col min="12031" max="12031" width="0.85546875" style="594" customWidth="1"/>
    <col min="12032" max="12032" width="14.7109375" style="594" customWidth="1"/>
    <col min="12033" max="12033" width="0.85546875" style="594" customWidth="1"/>
    <col min="12034" max="12038" width="6.7109375" style="594" customWidth="1"/>
    <col min="12039" max="12272" width="11.42578125" style="594"/>
    <col min="12273" max="12273" width="4" style="594" customWidth="1"/>
    <col min="12274" max="12274" width="30.7109375" style="594" customWidth="1"/>
    <col min="12275" max="12275" width="0.85546875" style="594" customWidth="1"/>
    <col min="12276" max="12276" width="8.7109375" style="594" customWidth="1"/>
    <col min="12277" max="12277" width="0.7109375" style="594" customWidth="1"/>
    <col min="12278" max="12278" width="0.140625" style="594" customWidth="1"/>
    <col min="12279" max="12279" width="17.7109375" style="594" customWidth="1"/>
    <col min="12280" max="12280" width="21" style="594" customWidth="1"/>
    <col min="12281" max="12281" width="0.85546875" style="594" customWidth="1"/>
    <col min="12282" max="12283" width="14.7109375" style="594" customWidth="1"/>
    <col min="12284" max="12284" width="0.85546875" style="594" customWidth="1"/>
    <col min="12285" max="12286" width="14.7109375" style="594" customWidth="1"/>
    <col min="12287" max="12287" width="0.85546875" style="594" customWidth="1"/>
    <col min="12288" max="12288" width="14.7109375" style="594" customWidth="1"/>
    <col min="12289" max="12289" width="0.85546875" style="594" customWidth="1"/>
    <col min="12290" max="12294" width="6.7109375" style="594" customWidth="1"/>
    <col min="12295" max="12528" width="11.42578125" style="594"/>
    <col min="12529" max="12529" width="4" style="594" customWidth="1"/>
    <col min="12530" max="12530" width="30.7109375" style="594" customWidth="1"/>
    <col min="12531" max="12531" width="0.85546875" style="594" customWidth="1"/>
    <col min="12532" max="12532" width="8.7109375" style="594" customWidth="1"/>
    <col min="12533" max="12533" width="0.7109375" style="594" customWidth="1"/>
    <col min="12534" max="12534" width="0.140625" style="594" customWidth="1"/>
    <col min="12535" max="12535" width="17.7109375" style="594" customWidth="1"/>
    <col min="12536" max="12536" width="21" style="594" customWidth="1"/>
    <col min="12537" max="12537" width="0.85546875" style="594" customWidth="1"/>
    <col min="12538" max="12539" width="14.7109375" style="594" customWidth="1"/>
    <col min="12540" max="12540" width="0.85546875" style="594" customWidth="1"/>
    <col min="12541" max="12542" width="14.7109375" style="594" customWidth="1"/>
    <col min="12543" max="12543" width="0.85546875" style="594" customWidth="1"/>
    <col min="12544" max="12544" width="14.7109375" style="594" customWidth="1"/>
    <col min="12545" max="12545" width="0.85546875" style="594" customWidth="1"/>
    <col min="12546" max="12550" width="6.7109375" style="594" customWidth="1"/>
    <col min="12551" max="12784" width="11.42578125" style="594"/>
    <col min="12785" max="12785" width="4" style="594" customWidth="1"/>
    <col min="12786" max="12786" width="30.7109375" style="594" customWidth="1"/>
    <col min="12787" max="12787" width="0.85546875" style="594" customWidth="1"/>
    <col min="12788" max="12788" width="8.7109375" style="594" customWidth="1"/>
    <col min="12789" max="12789" width="0.7109375" style="594" customWidth="1"/>
    <col min="12790" max="12790" width="0.140625" style="594" customWidth="1"/>
    <col min="12791" max="12791" width="17.7109375" style="594" customWidth="1"/>
    <col min="12792" max="12792" width="21" style="594" customWidth="1"/>
    <col min="12793" max="12793" width="0.85546875" style="594" customWidth="1"/>
    <col min="12794" max="12795" width="14.7109375" style="594" customWidth="1"/>
    <col min="12796" max="12796" width="0.85546875" style="594" customWidth="1"/>
    <col min="12797" max="12798" width="14.7109375" style="594" customWidth="1"/>
    <col min="12799" max="12799" width="0.85546875" style="594" customWidth="1"/>
    <col min="12800" max="12800" width="14.7109375" style="594" customWidth="1"/>
    <col min="12801" max="12801" width="0.85546875" style="594" customWidth="1"/>
    <col min="12802" max="12806" width="6.7109375" style="594" customWidth="1"/>
    <col min="12807" max="13040" width="11.42578125" style="594"/>
    <col min="13041" max="13041" width="4" style="594" customWidth="1"/>
    <col min="13042" max="13042" width="30.7109375" style="594" customWidth="1"/>
    <col min="13043" max="13043" width="0.85546875" style="594" customWidth="1"/>
    <col min="13044" max="13044" width="8.7109375" style="594" customWidth="1"/>
    <col min="13045" max="13045" width="0.7109375" style="594" customWidth="1"/>
    <col min="13046" max="13046" width="0.140625" style="594" customWidth="1"/>
    <col min="13047" max="13047" width="17.7109375" style="594" customWidth="1"/>
    <col min="13048" max="13048" width="21" style="594" customWidth="1"/>
    <col min="13049" max="13049" width="0.85546875" style="594" customWidth="1"/>
    <col min="13050" max="13051" width="14.7109375" style="594" customWidth="1"/>
    <col min="13052" max="13052" width="0.85546875" style="594" customWidth="1"/>
    <col min="13053" max="13054" width="14.7109375" style="594" customWidth="1"/>
    <col min="13055" max="13055" width="0.85546875" style="594" customWidth="1"/>
    <col min="13056" max="13056" width="14.7109375" style="594" customWidth="1"/>
    <col min="13057" max="13057" width="0.85546875" style="594" customWidth="1"/>
    <col min="13058" max="13062" width="6.7109375" style="594" customWidth="1"/>
    <col min="13063" max="13296" width="11.42578125" style="594"/>
    <col min="13297" max="13297" width="4" style="594" customWidth="1"/>
    <col min="13298" max="13298" width="30.7109375" style="594" customWidth="1"/>
    <col min="13299" max="13299" width="0.85546875" style="594" customWidth="1"/>
    <col min="13300" max="13300" width="8.7109375" style="594" customWidth="1"/>
    <col min="13301" max="13301" width="0.7109375" style="594" customWidth="1"/>
    <col min="13302" max="13302" width="0.140625" style="594" customWidth="1"/>
    <col min="13303" max="13303" width="17.7109375" style="594" customWidth="1"/>
    <col min="13304" max="13304" width="21" style="594" customWidth="1"/>
    <col min="13305" max="13305" width="0.85546875" style="594" customWidth="1"/>
    <col min="13306" max="13307" width="14.7109375" style="594" customWidth="1"/>
    <col min="13308" max="13308" width="0.85546875" style="594" customWidth="1"/>
    <col min="13309" max="13310" width="14.7109375" style="594" customWidth="1"/>
    <col min="13311" max="13311" width="0.85546875" style="594" customWidth="1"/>
    <col min="13312" max="13312" width="14.7109375" style="594" customWidth="1"/>
    <col min="13313" max="13313" width="0.85546875" style="594" customWidth="1"/>
    <col min="13314" max="13318" width="6.7109375" style="594" customWidth="1"/>
    <col min="13319" max="13552" width="11.42578125" style="594"/>
    <col min="13553" max="13553" width="4" style="594" customWidth="1"/>
    <col min="13554" max="13554" width="30.7109375" style="594" customWidth="1"/>
    <col min="13555" max="13555" width="0.85546875" style="594" customWidth="1"/>
    <col min="13556" max="13556" width="8.7109375" style="594" customWidth="1"/>
    <col min="13557" max="13557" width="0.7109375" style="594" customWidth="1"/>
    <col min="13558" max="13558" width="0.140625" style="594" customWidth="1"/>
    <col min="13559" max="13559" width="17.7109375" style="594" customWidth="1"/>
    <col min="13560" max="13560" width="21" style="594" customWidth="1"/>
    <col min="13561" max="13561" width="0.85546875" style="594" customWidth="1"/>
    <col min="13562" max="13563" width="14.7109375" style="594" customWidth="1"/>
    <col min="13564" max="13564" width="0.85546875" style="594" customWidth="1"/>
    <col min="13565" max="13566" width="14.7109375" style="594" customWidth="1"/>
    <col min="13567" max="13567" width="0.85546875" style="594" customWidth="1"/>
    <col min="13568" max="13568" width="14.7109375" style="594" customWidth="1"/>
    <col min="13569" max="13569" width="0.85546875" style="594" customWidth="1"/>
    <col min="13570" max="13574" width="6.7109375" style="594" customWidth="1"/>
    <col min="13575" max="13808" width="11.42578125" style="594"/>
    <col min="13809" max="13809" width="4" style="594" customWidth="1"/>
    <col min="13810" max="13810" width="30.7109375" style="594" customWidth="1"/>
    <col min="13811" max="13811" width="0.85546875" style="594" customWidth="1"/>
    <col min="13812" max="13812" width="8.7109375" style="594" customWidth="1"/>
    <col min="13813" max="13813" width="0.7109375" style="594" customWidth="1"/>
    <col min="13814" max="13814" width="0.140625" style="594" customWidth="1"/>
    <col min="13815" max="13815" width="17.7109375" style="594" customWidth="1"/>
    <col min="13816" max="13816" width="21" style="594" customWidth="1"/>
    <col min="13817" max="13817" width="0.85546875" style="594" customWidth="1"/>
    <col min="13818" max="13819" width="14.7109375" style="594" customWidth="1"/>
    <col min="13820" max="13820" width="0.85546875" style="594" customWidth="1"/>
    <col min="13821" max="13822" width="14.7109375" style="594" customWidth="1"/>
    <col min="13823" max="13823" width="0.85546875" style="594" customWidth="1"/>
    <col min="13824" max="13824" width="14.7109375" style="594" customWidth="1"/>
    <col min="13825" max="13825" width="0.85546875" style="594" customWidth="1"/>
    <col min="13826" max="13830" width="6.7109375" style="594" customWidth="1"/>
    <col min="13831" max="14064" width="11.42578125" style="594"/>
    <col min="14065" max="14065" width="4" style="594" customWidth="1"/>
    <col min="14066" max="14066" width="30.7109375" style="594" customWidth="1"/>
    <col min="14067" max="14067" width="0.85546875" style="594" customWidth="1"/>
    <col min="14068" max="14068" width="8.7109375" style="594" customWidth="1"/>
    <col min="14069" max="14069" width="0.7109375" style="594" customWidth="1"/>
    <col min="14070" max="14070" width="0.140625" style="594" customWidth="1"/>
    <col min="14071" max="14071" width="17.7109375" style="594" customWidth="1"/>
    <col min="14072" max="14072" width="21" style="594" customWidth="1"/>
    <col min="14073" max="14073" width="0.85546875" style="594" customWidth="1"/>
    <col min="14074" max="14075" width="14.7109375" style="594" customWidth="1"/>
    <col min="14076" max="14076" width="0.85546875" style="594" customWidth="1"/>
    <col min="14077" max="14078" width="14.7109375" style="594" customWidth="1"/>
    <col min="14079" max="14079" width="0.85546875" style="594" customWidth="1"/>
    <col min="14080" max="14080" width="14.7109375" style="594" customWidth="1"/>
    <col min="14081" max="14081" width="0.85546875" style="594" customWidth="1"/>
    <col min="14082" max="14086" width="6.7109375" style="594" customWidth="1"/>
    <col min="14087" max="14320" width="11.42578125" style="594"/>
    <col min="14321" max="14321" width="4" style="594" customWidth="1"/>
    <col min="14322" max="14322" width="30.7109375" style="594" customWidth="1"/>
    <col min="14323" max="14323" width="0.85546875" style="594" customWidth="1"/>
    <col min="14324" max="14324" width="8.7109375" style="594" customWidth="1"/>
    <col min="14325" max="14325" width="0.7109375" style="594" customWidth="1"/>
    <col min="14326" max="14326" width="0.140625" style="594" customWidth="1"/>
    <col min="14327" max="14327" width="17.7109375" style="594" customWidth="1"/>
    <col min="14328" max="14328" width="21" style="594" customWidth="1"/>
    <col min="14329" max="14329" width="0.85546875" style="594" customWidth="1"/>
    <col min="14330" max="14331" width="14.7109375" style="594" customWidth="1"/>
    <col min="14332" max="14332" width="0.85546875" style="594" customWidth="1"/>
    <col min="14333" max="14334" width="14.7109375" style="594" customWidth="1"/>
    <col min="14335" max="14335" width="0.85546875" style="594" customWidth="1"/>
    <col min="14336" max="14336" width="14.7109375" style="594" customWidth="1"/>
    <col min="14337" max="14337" width="0.85546875" style="594" customWidth="1"/>
    <col min="14338" max="14342" width="6.7109375" style="594" customWidth="1"/>
    <col min="14343" max="14576" width="11.42578125" style="594"/>
    <col min="14577" max="14577" width="4" style="594" customWidth="1"/>
    <col min="14578" max="14578" width="30.7109375" style="594" customWidth="1"/>
    <col min="14579" max="14579" width="0.85546875" style="594" customWidth="1"/>
    <col min="14580" max="14580" width="8.7109375" style="594" customWidth="1"/>
    <col min="14581" max="14581" width="0.7109375" style="594" customWidth="1"/>
    <col min="14582" max="14582" width="0.140625" style="594" customWidth="1"/>
    <col min="14583" max="14583" width="17.7109375" style="594" customWidth="1"/>
    <col min="14584" max="14584" width="21" style="594" customWidth="1"/>
    <col min="14585" max="14585" width="0.85546875" style="594" customWidth="1"/>
    <col min="14586" max="14587" width="14.7109375" style="594" customWidth="1"/>
    <col min="14588" max="14588" width="0.85546875" style="594" customWidth="1"/>
    <col min="14589" max="14590" width="14.7109375" style="594" customWidth="1"/>
    <col min="14591" max="14591" width="0.85546875" style="594" customWidth="1"/>
    <col min="14592" max="14592" width="14.7109375" style="594" customWidth="1"/>
    <col min="14593" max="14593" width="0.85546875" style="594" customWidth="1"/>
    <col min="14594" max="14598" width="6.7109375" style="594" customWidth="1"/>
    <col min="14599" max="14832" width="11.42578125" style="594"/>
    <col min="14833" max="14833" width="4" style="594" customWidth="1"/>
    <col min="14834" max="14834" width="30.7109375" style="594" customWidth="1"/>
    <col min="14835" max="14835" width="0.85546875" style="594" customWidth="1"/>
    <col min="14836" max="14836" width="8.7109375" style="594" customWidth="1"/>
    <col min="14837" max="14837" width="0.7109375" style="594" customWidth="1"/>
    <col min="14838" max="14838" width="0.140625" style="594" customWidth="1"/>
    <col min="14839" max="14839" width="17.7109375" style="594" customWidth="1"/>
    <col min="14840" max="14840" width="21" style="594" customWidth="1"/>
    <col min="14841" max="14841" width="0.85546875" style="594" customWidth="1"/>
    <col min="14842" max="14843" width="14.7109375" style="594" customWidth="1"/>
    <col min="14844" max="14844" width="0.85546875" style="594" customWidth="1"/>
    <col min="14845" max="14846" width="14.7109375" style="594" customWidth="1"/>
    <col min="14847" max="14847" width="0.85546875" style="594" customWidth="1"/>
    <col min="14848" max="14848" width="14.7109375" style="594" customWidth="1"/>
    <col min="14849" max="14849" width="0.85546875" style="594" customWidth="1"/>
    <col min="14850" max="14854" width="6.7109375" style="594" customWidth="1"/>
    <col min="14855" max="15088" width="11.42578125" style="594"/>
    <col min="15089" max="15089" width="4" style="594" customWidth="1"/>
    <col min="15090" max="15090" width="30.7109375" style="594" customWidth="1"/>
    <col min="15091" max="15091" width="0.85546875" style="594" customWidth="1"/>
    <col min="15092" max="15092" width="8.7109375" style="594" customWidth="1"/>
    <col min="15093" max="15093" width="0.7109375" style="594" customWidth="1"/>
    <col min="15094" max="15094" width="0.140625" style="594" customWidth="1"/>
    <col min="15095" max="15095" width="17.7109375" style="594" customWidth="1"/>
    <col min="15096" max="15096" width="21" style="594" customWidth="1"/>
    <col min="15097" max="15097" width="0.85546875" style="594" customWidth="1"/>
    <col min="15098" max="15099" width="14.7109375" style="594" customWidth="1"/>
    <col min="15100" max="15100" width="0.85546875" style="594" customWidth="1"/>
    <col min="15101" max="15102" width="14.7109375" style="594" customWidth="1"/>
    <col min="15103" max="15103" width="0.85546875" style="594" customWidth="1"/>
    <col min="15104" max="15104" width="14.7109375" style="594" customWidth="1"/>
    <col min="15105" max="15105" width="0.85546875" style="594" customWidth="1"/>
    <col min="15106" max="15110" width="6.7109375" style="594" customWidth="1"/>
    <col min="15111" max="15344" width="11.42578125" style="594"/>
    <col min="15345" max="15345" width="4" style="594" customWidth="1"/>
    <col min="15346" max="15346" width="30.7109375" style="594" customWidth="1"/>
    <col min="15347" max="15347" width="0.85546875" style="594" customWidth="1"/>
    <col min="15348" max="15348" width="8.7109375" style="594" customWidth="1"/>
    <col min="15349" max="15349" width="0.7109375" style="594" customWidth="1"/>
    <col min="15350" max="15350" width="0.140625" style="594" customWidth="1"/>
    <col min="15351" max="15351" width="17.7109375" style="594" customWidth="1"/>
    <col min="15352" max="15352" width="21" style="594" customWidth="1"/>
    <col min="15353" max="15353" width="0.85546875" style="594" customWidth="1"/>
    <col min="15354" max="15355" width="14.7109375" style="594" customWidth="1"/>
    <col min="15356" max="15356" width="0.85546875" style="594" customWidth="1"/>
    <col min="15357" max="15358" width="14.7109375" style="594" customWidth="1"/>
    <col min="15359" max="15359" width="0.85546875" style="594" customWidth="1"/>
    <col min="15360" max="15360" width="14.7109375" style="594" customWidth="1"/>
    <col min="15361" max="15361" width="0.85546875" style="594" customWidth="1"/>
    <col min="15362" max="15366" width="6.7109375" style="594" customWidth="1"/>
    <col min="15367" max="15600" width="11.42578125" style="594"/>
    <col min="15601" max="15601" width="4" style="594" customWidth="1"/>
    <col min="15602" max="15602" width="30.7109375" style="594" customWidth="1"/>
    <col min="15603" max="15603" width="0.85546875" style="594" customWidth="1"/>
    <col min="15604" max="15604" width="8.7109375" style="594" customWidth="1"/>
    <col min="15605" max="15605" width="0.7109375" style="594" customWidth="1"/>
    <col min="15606" max="15606" width="0.140625" style="594" customWidth="1"/>
    <col min="15607" max="15607" width="17.7109375" style="594" customWidth="1"/>
    <col min="15608" max="15608" width="21" style="594" customWidth="1"/>
    <col min="15609" max="15609" width="0.85546875" style="594" customWidth="1"/>
    <col min="15610" max="15611" width="14.7109375" style="594" customWidth="1"/>
    <col min="15612" max="15612" width="0.85546875" style="594" customWidth="1"/>
    <col min="15613" max="15614" width="14.7109375" style="594" customWidth="1"/>
    <col min="15615" max="15615" width="0.85546875" style="594" customWidth="1"/>
    <col min="15616" max="15616" width="14.7109375" style="594" customWidth="1"/>
    <col min="15617" max="15617" width="0.85546875" style="594" customWidth="1"/>
    <col min="15618" max="15622" width="6.7109375" style="594" customWidth="1"/>
    <col min="15623" max="15856" width="11.42578125" style="594"/>
    <col min="15857" max="15857" width="4" style="594" customWidth="1"/>
    <col min="15858" max="15858" width="30.7109375" style="594" customWidth="1"/>
    <col min="15859" max="15859" width="0.85546875" style="594" customWidth="1"/>
    <col min="15860" max="15860" width="8.7109375" style="594" customWidth="1"/>
    <col min="15861" max="15861" width="0.7109375" style="594" customWidth="1"/>
    <col min="15862" max="15862" width="0.140625" style="594" customWidth="1"/>
    <col min="15863" max="15863" width="17.7109375" style="594" customWidth="1"/>
    <col min="15864" max="15864" width="21" style="594" customWidth="1"/>
    <col min="15865" max="15865" width="0.85546875" style="594" customWidth="1"/>
    <col min="15866" max="15867" width="14.7109375" style="594" customWidth="1"/>
    <col min="15868" max="15868" width="0.85546875" style="594" customWidth="1"/>
    <col min="15869" max="15870" width="14.7109375" style="594" customWidth="1"/>
    <col min="15871" max="15871" width="0.85546875" style="594" customWidth="1"/>
    <col min="15872" max="15872" width="14.7109375" style="594" customWidth="1"/>
    <col min="15873" max="15873" width="0.85546875" style="594" customWidth="1"/>
    <col min="15874" max="15878" width="6.7109375" style="594" customWidth="1"/>
    <col min="15879" max="16112" width="11.42578125" style="594"/>
    <col min="16113" max="16113" width="4" style="594" customWidth="1"/>
    <col min="16114" max="16114" width="30.7109375" style="594" customWidth="1"/>
    <col min="16115" max="16115" width="0.85546875" style="594" customWidth="1"/>
    <col min="16116" max="16116" width="8.7109375" style="594" customWidth="1"/>
    <col min="16117" max="16117" width="0.7109375" style="594" customWidth="1"/>
    <col min="16118" max="16118" width="0.140625" style="594" customWidth="1"/>
    <col min="16119" max="16119" width="17.7109375" style="594" customWidth="1"/>
    <col min="16120" max="16120" width="21" style="594" customWidth="1"/>
    <col min="16121" max="16121" width="0.85546875" style="594" customWidth="1"/>
    <col min="16122" max="16123" width="14.7109375" style="594" customWidth="1"/>
    <col min="16124" max="16124" width="0.85546875" style="594" customWidth="1"/>
    <col min="16125" max="16126" width="14.7109375" style="594" customWidth="1"/>
    <col min="16127" max="16127" width="0.85546875" style="594" customWidth="1"/>
    <col min="16128" max="16128" width="14.7109375" style="594" customWidth="1"/>
    <col min="16129" max="16129" width="0.85546875" style="594" customWidth="1"/>
    <col min="16130" max="16134" width="6.7109375" style="594" customWidth="1"/>
    <col min="16135" max="16384" width="11.42578125" style="594"/>
  </cols>
  <sheetData>
    <row r="1" spans="1:42" ht="20.25" customHeight="1" x14ac:dyDescent="0.25">
      <c r="A1" s="592"/>
    </row>
    <row r="2" spans="1:42" ht="21.95" customHeight="1" x14ac:dyDescent="0.25">
      <c r="B2" s="819" t="s">
        <v>171</v>
      </c>
      <c r="C2" s="819"/>
      <c r="D2" s="819"/>
      <c r="E2" s="819"/>
      <c r="F2" s="819"/>
      <c r="G2" s="819"/>
      <c r="H2" s="819"/>
      <c r="I2" s="819"/>
      <c r="J2" s="819"/>
      <c r="K2" s="819"/>
      <c r="L2" s="819"/>
      <c r="M2" s="819"/>
      <c r="N2" s="819"/>
      <c r="O2" s="819"/>
      <c r="P2" s="819"/>
      <c r="Q2" s="819"/>
      <c r="R2" s="819"/>
      <c r="S2" s="819"/>
      <c r="T2" s="819"/>
      <c r="U2" s="819"/>
    </row>
    <row r="3" spans="1:42" ht="21.95" customHeight="1" x14ac:dyDescent="0.25">
      <c r="B3" s="4"/>
      <c r="C3" s="802"/>
      <c r="D3" s="801"/>
      <c r="E3" s="801"/>
      <c r="F3" s="801"/>
      <c r="G3" s="801"/>
      <c r="H3" s="802"/>
      <c r="I3" s="699"/>
      <c r="J3" s="801"/>
      <c r="K3" s="802"/>
      <c r="L3" s="802"/>
      <c r="M3" s="802"/>
      <c r="N3" s="802"/>
      <c r="O3" s="801"/>
      <c r="P3" s="801"/>
      <c r="Q3" s="700"/>
      <c r="R3" s="801"/>
      <c r="S3" s="801"/>
      <c r="T3" s="801"/>
      <c r="U3" s="801"/>
    </row>
    <row r="4" spans="1:42" s="596" customFormat="1" ht="21.95" customHeight="1" x14ac:dyDescent="0.25">
      <c r="B4" s="6"/>
      <c r="C4" s="701"/>
      <c r="D4" s="702"/>
      <c r="E4" s="3"/>
      <c r="F4" s="820" t="s">
        <v>170</v>
      </c>
      <c r="G4" s="821"/>
      <c r="H4" s="431"/>
      <c r="I4" s="822" t="s">
        <v>195</v>
      </c>
      <c r="J4" s="823"/>
      <c r="K4" s="255"/>
      <c r="L4" s="824" t="s">
        <v>200</v>
      </c>
      <c r="M4" s="825"/>
      <c r="N4" s="794"/>
      <c r="O4" s="795" t="s">
        <v>0</v>
      </c>
      <c r="P4" s="7"/>
      <c r="Q4" s="826" t="s">
        <v>1</v>
      </c>
      <c r="R4" s="827"/>
      <c r="S4" s="827"/>
      <c r="T4" s="827"/>
      <c r="U4" s="828"/>
    </row>
    <row r="5" spans="1:42" s="596" customFormat="1" ht="30" customHeight="1" x14ac:dyDescent="0.25">
      <c r="B5" s="1"/>
      <c r="C5" s="428"/>
      <c r="D5" s="10"/>
      <c r="E5" s="3"/>
      <c r="F5" s="613" t="s">
        <v>193</v>
      </c>
      <c r="G5" s="613" t="s">
        <v>194</v>
      </c>
      <c r="H5" s="614"/>
      <c r="I5" s="11" t="s">
        <v>2</v>
      </c>
      <c r="J5" s="11" t="s">
        <v>3</v>
      </c>
      <c r="K5" s="255"/>
      <c r="L5" s="11" t="s">
        <v>2</v>
      </c>
      <c r="M5" s="11" t="s">
        <v>3</v>
      </c>
      <c r="N5" s="796"/>
      <c r="O5" s="13">
        <v>2025</v>
      </c>
      <c r="P5" s="7"/>
      <c r="Q5" s="826" t="s">
        <v>3</v>
      </c>
      <c r="R5" s="827"/>
      <c r="S5" s="828"/>
      <c r="T5" s="826" t="s">
        <v>4</v>
      </c>
      <c r="U5" s="828"/>
    </row>
    <row r="6" spans="1:42" s="599" customFormat="1" ht="20.25" customHeight="1" x14ac:dyDescent="0.25">
      <c r="B6" s="703" t="s">
        <v>5</v>
      </c>
      <c r="C6" s="600"/>
      <c r="D6" s="601"/>
      <c r="F6" s="704" t="s">
        <v>6</v>
      </c>
      <c r="G6" s="704" t="s">
        <v>7</v>
      </c>
      <c r="H6" s="705"/>
      <c r="I6" s="704" t="s">
        <v>8</v>
      </c>
      <c r="J6" s="704" t="s">
        <v>9</v>
      </c>
      <c r="K6" s="255"/>
      <c r="L6" s="704" t="s">
        <v>10</v>
      </c>
      <c r="M6" s="704" t="s">
        <v>11</v>
      </c>
      <c r="N6" s="705"/>
      <c r="O6" s="704" t="s">
        <v>12</v>
      </c>
      <c r="P6" s="3"/>
      <c r="Q6" s="706" t="s">
        <v>13</v>
      </c>
      <c r="R6" s="706" t="s">
        <v>14</v>
      </c>
      <c r="S6" s="706" t="s">
        <v>15</v>
      </c>
      <c r="T6" s="706" t="s">
        <v>158</v>
      </c>
      <c r="U6" s="706" t="s">
        <v>159</v>
      </c>
      <c r="W6" s="707"/>
    </row>
    <row r="7" spans="1:42" s="596" customFormat="1" ht="6" customHeight="1" x14ac:dyDescent="0.25">
      <c r="B7" s="603"/>
      <c r="C7" s="597"/>
      <c r="D7" s="595"/>
      <c r="F7" s="16"/>
      <c r="G7" s="16"/>
      <c r="H7" s="705"/>
      <c r="I7" s="16"/>
      <c r="J7" s="16"/>
      <c r="K7" s="255"/>
      <c r="L7" s="16"/>
      <c r="M7" s="16"/>
      <c r="N7" s="602"/>
      <c r="W7" s="707"/>
    </row>
    <row r="8" spans="1:42" ht="24.95" customHeight="1" x14ac:dyDescent="0.25">
      <c r="B8" s="638" t="s">
        <v>16</v>
      </c>
      <c r="D8" s="816" t="s">
        <v>17</v>
      </c>
      <c r="E8" s="3"/>
      <c r="F8" s="550"/>
      <c r="G8" s="708"/>
      <c r="H8" s="138"/>
      <c r="I8" s="550"/>
      <c r="J8" s="550"/>
      <c r="K8" s="243"/>
      <c r="L8" s="550"/>
      <c r="M8" s="708"/>
      <c r="N8" s="241"/>
      <c r="O8" s="550"/>
      <c r="P8" s="255"/>
      <c r="Q8" s="709" t="str">
        <f>IFERROR(J8/I8,"-")</f>
        <v>-</v>
      </c>
      <c r="R8" s="710" t="str">
        <f>IFERROR(M8/L8,"-")</f>
        <v>-</v>
      </c>
      <c r="S8" s="711" t="str">
        <f>IFERROR(M8/O8,"-")</f>
        <v>-</v>
      </c>
      <c r="T8" s="709" t="str">
        <f>IFERROR(J8/F8-1,"-")</f>
        <v>-</v>
      </c>
      <c r="U8" s="711" t="str">
        <f>IFERROR(M8/G8-1,"-")</f>
        <v>-</v>
      </c>
      <c r="W8" s="712"/>
      <c r="X8" s="676"/>
      <c r="Y8" s="675"/>
      <c r="Z8" s="675"/>
      <c r="AC8" s="676"/>
      <c r="AD8" s="676"/>
      <c r="AE8" s="676"/>
      <c r="AF8" s="676"/>
      <c r="AG8" s="676"/>
      <c r="AH8" s="676"/>
      <c r="AI8" s="676"/>
      <c r="AJ8" s="676"/>
      <c r="AK8" s="676"/>
      <c r="AL8" s="676"/>
      <c r="AM8" s="676"/>
      <c r="AN8" s="676"/>
      <c r="AO8" s="675"/>
      <c r="AP8" s="675"/>
    </row>
    <row r="9" spans="1:42" s="604" customFormat="1" ht="24.95" customHeight="1" x14ac:dyDescent="0.25">
      <c r="B9" s="639" t="s">
        <v>137</v>
      </c>
      <c r="D9" s="817"/>
      <c r="E9" s="7"/>
      <c r="F9" s="137"/>
      <c r="G9" s="245"/>
      <c r="H9" s="138"/>
      <c r="I9" s="237"/>
      <c r="J9" s="137"/>
      <c r="K9" s="138"/>
      <c r="L9" s="137"/>
      <c r="M9" s="245"/>
      <c r="N9" s="713"/>
      <c r="O9" s="137"/>
      <c r="P9" s="255"/>
      <c r="Q9" s="714" t="str">
        <f t="shared" ref="Q9:Q19" si="0">IFERROR(J9/I9,"-")</f>
        <v>-</v>
      </c>
      <c r="R9" s="715" t="str">
        <f t="shared" ref="R9:R16" si="1">IFERROR(M9/L9,"-")</f>
        <v>-</v>
      </c>
      <c r="S9" s="716" t="str">
        <f t="shared" ref="S9:S19" si="2">IFERROR(M9/O9,"-")</f>
        <v>-</v>
      </c>
      <c r="T9" s="714" t="str">
        <f t="shared" ref="T9:T18" si="3">IFERROR(J9/F9-1,"-")</f>
        <v>-</v>
      </c>
      <c r="U9" s="716" t="str">
        <f t="shared" ref="U9:U16" si="4">IFERROR(M9/G9-1,"-")</f>
        <v>-</v>
      </c>
      <c r="W9" s="712"/>
      <c r="X9" s="676"/>
      <c r="Y9" s="675"/>
      <c r="Z9" s="675"/>
      <c r="AC9" s="676"/>
      <c r="AD9" s="676"/>
      <c r="AE9" s="676"/>
      <c r="AF9" s="676"/>
      <c r="AG9" s="676"/>
      <c r="AH9" s="676"/>
      <c r="AI9" s="676"/>
      <c r="AJ9" s="676"/>
      <c r="AK9" s="676"/>
      <c r="AL9" s="676"/>
      <c r="AM9" s="676"/>
      <c r="AN9" s="676"/>
      <c r="AO9" s="675"/>
      <c r="AP9" s="675"/>
    </row>
    <row r="10" spans="1:42" s="604" customFormat="1" ht="24.95" customHeight="1" x14ac:dyDescent="0.25">
      <c r="B10" s="640" t="s">
        <v>138</v>
      </c>
      <c r="D10" s="818"/>
      <c r="E10" s="7"/>
      <c r="F10" s="717"/>
      <c r="G10" s="717"/>
      <c r="H10" s="138"/>
      <c r="I10" s="717"/>
      <c r="J10" s="717"/>
      <c r="K10" s="138"/>
      <c r="L10" s="717"/>
      <c r="M10" s="718"/>
      <c r="N10" s="713"/>
      <c r="O10" s="717"/>
      <c r="P10" s="255"/>
      <c r="Q10" s="719" t="str">
        <f t="shared" si="0"/>
        <v>-</v>
      </c>
      <c r="R10" s="720" t="str">
        <f t="shared" si="1"/>
        <v>-</v>
      </c>
      <c r="S10" s="721" t="str">
        <f t="shared" si="2"/>
        <v>-</v>
      </c>
      <c r="T10" s="719" t="str">
        <f t="shared" si="3"/>
        <v>-</v>
      </c>
      <c r="U10" s="721" t="str">
        <f t="shared" si="4"/>
        <v>-</v>
      </c>
      <c r="W10" s="712"/>
      <c r="X10" s="676"/>
      <c r="Y10" s="675"/>
      <c r="Z10" s="675"/>
      <c r="AC10" s="676"/>
      <c r="AD10" s="676"/>
      <c r="AE10" s="676"/>
      <c r="AF10" s="676"/>
      <c r="AG10" s="676"/>
      <c r="AH10" s="676"/>
      <c r="AI10" s="676"/>
      <c r="AJ10" s="676"/>
      <c r="AK10" s="676"/>
      <c r="AL10" s="676"/>
      <c r="AM10" s="676"/>
      <c r="AN10" s="676"/>
      <c r="AO10" s="675"/>
      <c r="AP10" s="675"/>
    </row>
    <row r="11" spans="1:42" ht="24.95" customHeight="1" x14ac:dyDescent="0.25">
      <c r="B11" s="638" t="s">
        <v>18</v>
      </c>
      <c r="C11" s="2"/>
      <c r="D11" s="816" t="s">
        <v>191</v>
      </c>
      <c r="E11" s="3"/>
      <c r="F11" s="243"/>
      <c r="G11" s="708"/>
      <c r="H11" s="241"/>
      <c r="I11" s="550"/>
      <c r="J11" s="708"/>
      <c r="K11" s="138"/>
      <c r="L11" s="550"/>
      <c r="M11" s="708"/>
      <c r="N11" s="241"/>
      <c r="O11" s="550"/>
      <c r="P11" s="428"/>
      <c r="Q11" s="709" t="str">
        <f t="shared" si="0"/>
        <v>-</v>
      </c>
      <c r="R11" s="710" t="str">
        <f t="shared" si="1"/>
        <v>-</v>
      </c>
      <c r="S11" s="711" t="str">
        <f t="shared" si="2"/>
        <v>-</v>
      </c>
      <c r="T11" s="709" t="str">
        <f t="shared" si="3"/>
        <v>-</v>
      </c>
      <c r="U11" s="711" t="str">
        <f t="shared" si="4"/>
        <v>-</v>
      </c>
      <c r="V11" s="722"/>
      <c r="W11" s="145"/>
      <c r="X11" s="676"/>
      <c r="Y11" s="675"/>
      <c r="Z11" s="675"/>
      <c r="AC11" s="676"/>
      <c r="AD11" s="676"/>
      <c r="AE11" s="676"/>
      <c r="AF11" s="676"/>
      <c r="AG11" s="676"/>
      <c r="AH11" s="676"/>
      <c r="AI11" s="676"/>
      <c r="AJ11" s="676"/>
      <c r="AK11" s="676"/>
      <c r="AL11" s="676"/>
      <c r="AM11" s="676"/>
      <c r="AN11" s="676"/>
      <c r="AO11" s="675"/>
      <c r="AP11" s="675"/>
    </row>
    <row r="12" spans="1:42" s="604" customFormat="1" ht="24.95" customHeight="1" x14ac:dyDescent="0.25">
      <c r="B12" s="639" t="s">
        <v>137</v>
      </c>
      <c r="C12" s="28"/>
      <c r="D12" s="817"/>
      <c r="E12" s="7"/>
      <c r="F12" s="137"/>
      <c r="G12" s="245"/>
      <c r="H12" s="138"/>
      <c r="I12" s="137"/>
      <c r="J12" s="245"/>
      <c r="K12" s="138"/>
      <c r="L12" s="137"/>
      <c r="M12" s="245"/>
      <c r="N12" s="713"/>
      <c r="O12" s="137"/>
      <c r="P12" s="255"/>
      <c r="Q12" s="714" t="str">
        <f t="shared" si="0"/>
        <v>-</v>
      </c>
      <c r="R12" s="715" t="str">
        <f t="shared" si="1"/>
        <v>-</v>
      </c>
      <c r="S12" s="716" t="str">
        <f t="shared" si="2"/>
        <v>-</v>
      </c>
      <c r="T12" s="714" t="str">
        <f t="shared" si="3"/>
        <v>-</v>
      </c>
      <c r="U12" s="716" t="str">
        <f t="shared" si="4"/>
        <v>-</v>
      </c>
      <c r="V12" s="682"/>
      <c r="W12" s="145"/>
      <c r="X12" s="676"/>
      <c r="Y12" s="675"/>
      <c r="Z12" s="675"/>
      <c r="AC12" s="676"/>
      <c r="AD12" s="676"/>
      <c r="AE12" s="676"/>
      <c r="AF12" s="676"/>
      <c r="AG12" s="676"/>
      <c r="AH12" s="676"/>
      <c r="AI12" s="676"/>
      <c r="AJ12" s="676"/>
      <c r="AK12" s="676"/>
      <c r="AL12" s="676"/>
      <c r="AM12" s="676"/>
      <c r="AN12" s="676"/>
      <c r="AO12" s="675"/>
      <c r="AP12" s="675"/>
    </row>
    <row r="13" spans="1:42" s="604" customFormat="1" ht="24.95" customHeight="1" x14ac:dyDescent="0.25">
      <c r="B13" s="640" t="s">
        <v>138</v>
      </c>
      <c r="C13" s="28"/>
      <c r="D13" s="818"/>
      <c r="E13" s="7"/>
      <c r="F13" s="723"/>
      <c r="G13" s="723"/>
      <c r="H13" s="138"/>
      <c r="I13" s="724"/>
      <c r="J13" s="718"/>
      <c r="K13" s="138"/>
      <c r="L13" s="724"/>
      <c r="M13" s="718"/>
      <c r="N13" s="713"/>
      <c r="O13" s="724"/>
      <c r="P13" s="255"/>
      <c r="Q13" s="719" t="str">
        <f t="shared" si="0"/>
        <v>-</v>
      </c>
      <c r="R13" s="720" t="str">
        <f t="shared" si="1"/>
        <v>-</v>
      </c>
      <c r="S13" s="721" t="str">
        <f t="shared" si="2"/>
        <v>-</v>
      </c>
      <c r="T13" s="719" t="str">
        <f t="shared" si="3"/>
        <v>-</v>
      </c>
      <c r="U13" s="721" t="str">
        <f t="shared" si="4"/>
        <v>-</v>
      </c>
      <c r="V13" s="675"/>
      <c r="W13" s="145"/>
      <c r="X13" s="676"/>
      <c r="Y13" s="675"/>
      <c r="Z13" s="675"/>
      <c r="AA13" s="594"/>
      <c r="AB13" s="594"/>
      <c r="AC13" s="676"/>
      <c r="AD13" s="676"/>
      <c r="AE13" s="676"/>
      <c r="AF13" s="676"/>
      <c r="AG13" s="676"/>
      <c r="AH13" s="676"/>
      <c r="AI13" s="676"/>
      <c r="AJ13" s="676"/>
      <c r="AK13" s="676"/>
      <c r="AL13" s="676"/>
      <c r="AM13" s="676"/>
      <c r="AN13" s="676"/>
      <c r="AO13" s="675"/>
      <c r="AP13" s="675"/>
    </row>
    <row r="14" spans="1:42" ht="24.95" customHeight="1" x14ac:dyDescent="0.25">
      <c r="B14" s="638" t="s">
        <v>19</v>
      </c>
      <c r="C14" s="2"/>
      <c r="D14" s="816" t="s">
        <v>20</v>
      </c>
      <c r="E14" s="3"/>
      <c r="F14" s="550"/>
      <c r="G14" s="550"/>
      <c r="H14" s="550"/>
      <c r="I14" s="550"/>
      <c r="J14" s="550"/>
      <c r="K14" s="550"/>
      <c r="L14" s="550"/>
      <c r="M14" s="550"/>
      <c r="N14" s="550"/>
      <c r="O14" s="550"/>
      <c r="P14" s="256"/>
      <c r="Q14" s="709" t="str">
        <f t="shared" si="0"/>
        <v>-</v>
      </c>
      <c r="R14" s="710" t="str">
        <f t="shared" si="1"/>
        <v>-</v>
      </c>
      <c r="S14" s="711" t="str">
        <f t="shared" si="2"/>
        <v>-</v>
      </c>
      <c r="T14" s="709" t="str">
        <f t="shared" si="3"/>
        <v>-</v>
      </c>
      <c r="U14" s="711" t="str">
        <f t="shared" si="4"/>
        <v>-</v>
      </c>
      <c r="W14" s="712"/>
      <c r="X14" s="676"/>
      <c r="Y14" s="675"/>
      <c r="Z14" s="675"/>
      <c r="AC14" s="676"/>
      <c r="AD14" s="676"/>
      <c r="AE14" s="676"/>
      <c r="AF14" s="676"/>
      <c r="AG14" s="676"/>
      <c r="AH14" s="676"/>
      <c r="AI14" s="676"/>
      <c r="AJ14" s="676"/>
      <c r="AK14" s="676"/>
      <c r="AL14" s="676"/>
      <c r="AM14" s="676"/>
      <c r="AN14" s="676"/>
      <c r="AO14" s="675"/>
      <c r="AP14" s="675"/>
    </row>
    <row r="15" spans="1:42" ht="24.95" customHeight="1" x14ac:dyDescent="0.25">
      <c r="B15" s="639" t="s">
        <v>137</v>
      </c>
      <c r="C15" s="2"/>
      <c r="D15" s="817"/>
      <c r="E15" s="3"/>
      <c r="F15" s="725"/>
      <c r="G15" s="245"/>
      <c r="H15" s="138"/>
      <c r="I15" s="137"/>
      <c r="J15" s="137"/>
      <c r="K15" s="138"/>
      <c r="L15" s="137"/>
      <c r="M15" s="245"/>
      <c r="N15" s="713"/>
      <c r="O15" s="137"/>
      <c r="P15" s="256"/>
      <c r="Q15" s="714" t="str">
        <f t="shared" si="0"/>
        <v>-</v>
      </c>
      <c r="R15" s="715" t="str">
        <f t="shared" si="1"/>
        <v>-</v>
      </c>
      <c r="S15" s="716" t="str">
        <f t="shared" si="2"/>
        <v>-</v>
      </c>
      <c r="T15" s="714" t="str">
        <f t="shared" si="3"/>
        <v>-</v>
      </c>
      <c r="U15" s="716" t="str">
        <f t="shared" si="4"/>
        <v>-</v>
      </c>
      <c r="V15" s="678"/>
      <c r="W15" s="726"/>
      <c r="X15" s="676"/>
      <c r="Y15" s="675"/>
      <c r="Z15" s="675"/>
      <c r="AA15" s="604"/>
      <c r="AB15" s="604"/>
      <c r="AC15" s="676"/>
      <c r="AD15" s="676"/>
      <c r="AE15" s="676"/>
      <c r="AF15" s="676"/>
      <c r="AG15" s="676"/>
      <c r="AH15" s="676"/>
      <c r="AI15" s="676"/>
      <c r="AJ15" s="676"/>
      <c r="AK15" s="676"/>
      <c r="AL15" s="676"/>
      <c r="AM15" s="676"/>
      <c r="AN15" s="676"/>
      <c r="AO15" s="675"/>
      <c r="AP15" s="675"/>
    </row>
    <row r="16" spans="1:42" ht="24.95" customHeight="1" x14ac:dyDescent="0.25">
      <c r="B16" s="640" t="s">
        <v>138</v>
      </c>
      <c r="C16" s="2"/>
      <c r="D16" s="818"/>
      <c r="E16" s="3"/>
      <c r="F16" s="660"/>
      <c r="G16" s="727"/>
      <c r="H16" s="138"/>
      <c r="I16" s="724"/>
      <c r="J16" s="717"/>
      <c r="K16" s="138"/>
      <c r="L16" s="239"/>
      <c r="M16" s="728"/>
      <c r="N16" s="713"/>
      <c r="O16" s="239"/>
      <c r="P16" s="255"/>
      <c r="Q16" s="719" t="str">
        <f t="shared" si="0"/>
        <v>-</v>
      </c>
      <c r="R16" s="720" t="str">
        <f t="shared" si="1"/>
        <v>-</v>
      </c>
      <c r="S16" s="721" t="str">
        <f t="shared" si="2"/>
        <v>-</v>
      </c>
      <c r="T16" s="719" t="str">
        <f t="shared" si="3"/>
        <v>-</v>
      </c>
      <c r="U16" s="721" t="str">
        <f t="shared" si="4"/>
        <v>-</v>
      </c>
      <c r="V16" s="604"/>
      <c r="W16" s="712"/>
      <c r="X16" s="676"/>
      <c r="Y16" s="675"/>
      <c r="Z16" s="675"/>
      <c r="AA16" s="604"/>
      <c r="AB16" s="604"/>
      <c r="AC16" s="676"/>
      <c r="AD16" s="676"/>
      <c r="AE16" s="676"/>
      <c r="AF16" s="676"/>
      <c r="AG16" s="676"/>
      <c r="AH16" s="676"/>
      <c r="AI16" s="676"/>
      <c r="AJ16" s="676"/>
      <c r="AK16" s="676"/>
      <c r="AL16" s="676"/>
      <c r="AM16" s="676"/>
      <c r="AN16" s="676"/>
      <c r="AO16" s="675"/>
      <c r="AP16" s="675"/>
    </row>
    <row r="17" spans="2:42" ht="24.95" customHeight="1" x14ac:dyDescent="0.25">
      <c r="B17" s="638" t="s">
        <v>21</v>
      </c>
      <c r="C17" s="2"/>
      <c r="D17" s="816" t="s">
        <v>22</v>
      </c>
      <c r="E17" s="3"/>
      <c r="F17" s="729"/>
      <c r="G17" s="550"/>
      <c r="H17" s="241"/>
      <c r="I17" s="550"/>
      <c r="J17" s="550"/>
      <c r="K17" s="249"/>
      <c r="L17" s="550"/>
      <c r="M17" s="550"/>
      <c r="N17" s="713"/>
      <c r="O17" s="243"/>
      <c r="P17" s="255"/>
      <c r="Q17" s="709" t="str">
        <f>IFERROR(J17/I17,"-")</f>
        <v>-</v>
      </c>
      <c r="R17" s="710" t="str">
        <f>IFERROR(M17/L17,"-")</f>
        <v>-</v>
      </c>
      <c r="S17" s="711" t="str">
        <f>IFERROR(M17/O17,"-")</f>
        <v>-</v>
      </c>
      <c r="T17" s="709" t="str">
        <f t="shared" si="3"/>
        <v>-</v>
      </c>
      <c r="U17" s="711" t="str">
        <f>IFERROR(M17/G17-1,"-")</f>
        <v>-</v>
      </c>
      <c r="W17" s="712"/>
      <c r="X17" s="676"/>
      <c r="Y17" s="675"/>
      <c r="Z17" s="675"/>
      <c r="AC17" s="676"/>
      <c r="AD17" s="676"/>
      <c r="AE17" s="676"/>
      <c r="AF17" s="676"/>
      <c r="AG17" s="676"/>
      <c r="AH17" s="676"/>
      <c r="AI17" s="676"/>
      <c r="AJ17" s="676"/>
      <c r="AK17" s="676"/>
      <c r="AL17" s="676"/>
      <c r="AM17" s="676"/>
      <c r="AN17" s="676"/>
      <c r="AO17" s="675"/>
      <c r="AP17" s="675"/>
    </row>
    <row r="18" spans="2:42" ht="24.95" customHeight="1" x14ac:dyDescent="0.25">
      <c r="B18" s="639" t="s">
        <v>137</v>
      </c>
      <c r="C18" s="2"/>
      <c r="D18" s="817"/>
      <c r="E18" s="3"/>
      <c r="F18" s="730"/>
      <c r="G18" s="137"/>
      <c r="H18" s="138"/>
      <c r="I18" s="137"/>
      <c r="J18" s="137"/>
      <c r="K18" s="138"/>
      <c r="L18" s="137"/>
      <c r="M18" s="137"/>
      <c r="N18" s="713"/>
      <c r="O18" s="137"/>
      <c r="P18" s="255"/>
      <c r="Q18" s="714" t="str">
        <f t="shared" si="0"/>
        <v>-</v>
      </c>
      <c r="R18" s="715" t="str">
        <f t="shared" ref="R18:R19" si="5">IFERROR(M18/L18,"-")</f>
        <v>-</v>
      </c>
      <c r="S18" s="716" t="str">
        <f t="shared" si="2"/>
        <v>-</v>
      </c>
      <c r="T18" s="714" t="str">
        <f t="shared" si="3"/>
        <v>-</v>
      </c>
      <c r="U18" s="716" t="str">
        <f t="shared" ref="U18:U19" si="6">IFERROR(M18/G18-1,"-")</f>
        <v>-</v>
      </c>
      <c r="V18" s="678"/>
      <c r="W18" s="677"/>
      <c r="X18" s="676"/>
      <c r="Y18" s="675"/>
      <c r="Z18" s="675"/>
      <c r="AA18" s="604"/>
      <c r="AB18" s="604"/>
      <c r="AC18" s="676"/>
      <c r="AD18" s="676"/>
      <c r="AE18" s="676"/>
      <c r="AF18" s="676"/>
      <c r="AG18" s="676"/>
      <c r="AH18" s="676"/>
      <c r="AI18" s="676"/>
      <c r="AJ18" s="676"/>
      <c r="AK18" s="676"/>
      <c r="AL18" s="676"/>
      <c r="AM18" s="676"/>
      <c r="AN18" s="676"/>
      <c r="AO18" s="675"/>
      <c r="AP18" s="675"/>
    </row>
    <row r="19" spans="2:42" ht="24.95" customHeight="1" x14ac:dyDescent="0.25">
      <c r="B19" s="640" t="s">
        <v>138</v>
      </c>
      <c r="C19" s="2"/>
      <c r="D19" s="818"/>
      <c r="E19" s="3"/>
      <c r="F19" s="723"/>
      <c r="G19" s="724"/>
      <c r="H19" s="138"/>
      <c r="I19" s="724"/>
      <c r="J19" s="731"/>
      <c r="K19" s="138"/>
      <c r="L19" s="724"/>
      <c r="M19" s="732"/>
      <c r="N19" s="713"/>
      <c r="O19" s="724"/>
      <c r="P19" s="255"/>
      <c r="Q19" s="719" t="str">
        <f t="shared" si="0"/>
        <v>-</v>
      </c>
      <c r="R19" s="720" t="str">
        <f t="shared" si="5"/>
        <v>-</v>
      </c>
      <c r="S19" s="721" t="str">
        <f t="shared" si="2"/>
        <v>-</v>
      </c>
      <c r="T19" s="719" t="str">
        <f>IFERROR(J19/F19-1,"-")</f>
        <v>-</v>
      </c>
      <c r="U19" s="721" t="str">
        <f t="shared" si="6"/>
        <v>-</v>
      </c>
      <c r="W19" s="677"/>
      <c r="X19" s="676"/>
      <c r="Y19" s="675"/>
      <c r="Z19" s="675"/>
      <c r="AC19" s="676"/>
      <c r="AD19" s="676"/>
      <c r="AE19" s="676"/>
      <c r="AF19" s="676"/>
      <c r="AG19" s="676"/>
      <c r="AH19" s="676"/>
      <c r="AI19" s="676"/>
      <c r="AJ19" s="676"/>
      <c r="AK19" s="676"/>
      <c r="AL19" s="676"/>
      <c r="AM19" s="676"/>
      <c r="AN19" s="676"/>
      <c r="AO19" s="675"/>
      <c r="AP19" s="675"/>
    </row>
    <row r="20" spans="2:42" ht="24.95" customHeight="1" x14ac:dyDescent="0.25">
      <c r="D20" s="605"/>
      <c r="F20" s="733"/>
      <c r="G20" s="733"/>
      <c r="H20" s="734"/>
      <c r="I20" s="490"/>
      <c r="J20" s="490"/>
      <c r="K20" s="255"/>
      <c r="L20" s="734"/>
      <c r="M20" s="734"/>
      <c r="N20" s="734"/>
      <c r="O20" s="735"/>
      <c r="P20" s="255"/>
      <c r="Q20" s="736"/>
      <c r="R20" s="736"/>
      <c r="S20" s="736"/>
      <c r="T20" s="737"/>
      <c r="U20" s="710"/>
      <c r="W20" s="675"/>
      <c r="X20" s="676"/>
      <c r="Y20" s="675"/>
      <c r="Z20" s="675"/>
      <c r="AC20" s="676"/>
      <c r="AD20" s="676"/>
      <c r="AE20" s="675"/>
      <c r="AF20" s="675"/>
      <c r="AG20" s="675"/>
      <c r="AH20" s="675"/>
      <c r="AI20" s="675"/>
      <c r="AJ20" s="675"/>
      <c r="AK20" s="675"/>
      <c r="AL20" s="675"/>
      <c r="AM20" s="675"/>
      <c r="AN20" s="675"/>
      <c r="AO20" s="675"/>
      <c r="AP20" s="675"/>
    </row>
    <row r="21" spans="2:42" s="599" customFormat="1" ht="24.95" customHeight="1" x14ac:dyDescent="0.25">
      <c r="B21" s="703" t="s">
        <v>23</v>
      </c>
      <c r="D21" s="606"/>
      <c r="F21" s="705"/>
      <c r="G21" s="705"/>
      <c r="H21" s="705"/>
      <c r="I21" s="490"/>
      <c r="J21" s="705"/>
      <c r="K21" s="255"/>
      <c r="L21" s="705"/>
      <c r="M21" s="705"/>
      <c r="N21" s="705"/>
      <c r="O21" s="705"/>
      <c r="P21" s="428"/>
      <c r="Q21" s="715"/>
      <c r="R21" s="715"/>
      <c r="S21" s="715"/>
      <c r="T21" s="715"/>
      <c r="U21" s="715"/>
      <c r="W21" s="675"/>
      <c r="X21" s="676"/>
      <c r="Y21" s="676"/>
      <c r="Z21" s="676"/>
      <c r="AA21" s="676"/>
      <c r="AB21" s="676"/>
      <c r="AC21" s="676"/>
      <c r="AD21" s="676"/>
      <c r="AE21" s="676"/>
      <c r="AF21" s="676"/>
      <c r="AG21" s="676"/>
      <c r="AH21" s="676"/>
      <c r="AI21" s="675"/>
      <c r="AJ21" s="675"/>
      <c r="AK21" s="675"/>
      <c r="AL21" s="675"/>
      <c r="AM21" s="675"/>
      <c r="AN21" s="675"/>
      <c r="AO21" s="675"/>
      <c r="AP21" s="675"/>
    </row>
    <row r="22" spans="2:42" ht="6" customHeight="1" x14ac:dyDescent="0.25">
      <c r="D22" s="605"/>
      <c r="F22" s="734"/>
      <c r="G22" s="734"/>
      <c r="H22" s="734"/>
      <c r="I22" s="734"/>
      <c r="J22" s="734"/>
      <c r="K22" s="255"/>
      <c r="L22" s="734"/>
      <c r="M22" s="734"/>
      <c r="N22" s="734"/>
      <c r="O22" s="255"/>
      <c r="P22" s="255"/>
      <c r="Q22" s="720"/>
      <c r="R22" s="720"/>
      <c r="S22" s="720"/>
      <c r="T22" s="720"/>
      <c r="U22" s="720"/>
      <c r="W22" s="675"/>
      <c r="X22" s="676"/>
      <c r="Y22" s="676"/>
      <c r="Z22" s="676"/>
      <c r="AA22" s="676"/>
      <c r="AB22" s="676"/>
      <c r="AC22" s="676"/>
      <c r="AD22" s="676"/>
      <c r="AE22" s="676"/>
      <c r="AF22" s="676"/>
      <c r="AG22" s="676"/>
      <c r="AH22" s="676"/>
      <c r="AI22" s="675"/>
      <c r="AJ22" s="675"/>
      <c r="AK22" s="675"/>
      <c r="AL22" s="675"/>
      <c r="AM22" s="675"/>
      <c r="AN22" s="675"/>
      <c r="AO22" s="675"/>
      <c r="AP22" s="675"/>
    </row>
    <row r="23" spans="2:42" s="604" customFormat="1" ht="24.95" customHeight="1" x14ac:dyDescent="0.25">
      <c r="B23" s="638" t="s">
        <v>19</v>
      </c>
      <c r="C23" s="28"/>
      <c r="D23" s="816" t="s">
        <v>20</v>
      </c>
      <c r="E23" s="7"/>
      <c r="F23" s="550"/>
      <c r="G23" s="550"/>
      <c r="H23" s="241"/>
      <c r="I23" s="550"/>
      <c r="J23" s="550"/>
      <c r="K23" s="249"/>
      <c r="L23" s="550"/>
      <c r="M23" s="550"/>
      <c r="N23" s="241"/>
      <c r="O23" s="550"/>
      <c r="P23" s="738"/>
      <c r="Q23" s="709" t="str">
        <f>IFERROR(J23/I23,"-")</f>
        <v>-</v>
      </c>
      <c r="R23" s="710" t="str">
        <f>IFERROR(M23/L23,"-")</f>
        <v>-</v>
      </c>
      <c r="S23" s="710" t="str">
        <f t="shared" ref="S23" si="7">IFERROR(M23/O23,"-")</f>
        <v>-</v>
      </c>
      <c r="T23" s="709" t="str">
        <f>IFERROR(J23/F23-1,"-")</f>
        <v>-</v>
      </c>
      <c r="U23" s="711" t="str">
        <f>IFERROR(M23/G23-1,"-")</f>
        <v>-</v>
      </c>
      <c r="W23" s="675"/>
      <c r="X23" s="676"/>
      <c r="Y23" s="676"/>
      <c r="Z23" s="676"/>
      <c r="AA23" s="676"/>
      <c r="AB23" s="676"/>
      <c r="AC23" s="676"/>
      <c r="AD23" s="676"/>
      <c r="AE23" s="676"/>
      <c r="AF23" s="676"/>
      <c r="AG23" s="676"/>
      <c r="AH23" s="676"/>
      <c r="AI23" s="675"/>
      <c r="AJ23" s="675"/>
      <c r="AK23" s="675"/>
      <c r="AL23" s="675"/>
      <c r="AM23" s="675"/>
      <c r="AN23" s="675"/>
      <c r="AO23" s="675"/>
      <c r="AP23" s="675"/>
    </row>
    <row r="24" spans="2:42" ht="24.95" customHeight="1" x14ac:dyDescent="0.25">
      <c r="B24" s="639" t="s">
        <v>137</v>
      </c>
      <c r="C24" s="2"/>
      <c r="D24" s="817"/>
      <c r="E24" s="3"/>
      <c r="F24" s="137"/>
      <c r="G24" s="137"/>
      <c r="H24" s="138"/>
      <c r="I24" s="137"/>
      <c r="J24" s="137"/>
      <c r="K24" s="138"/>
      <c r="L24" s="137"/>
      <c r="M24" s="137"/>
      <c r="N24" s="713"/>
      <c r="O24" s="137"/>
      <c r="P24" s="256"/>
      <c r="Q24" s="714" t="str">
        <f t="shared" ref="Q24:Q28" si="8">IFERROR(J24/I24,"-")</f>
        <v>-</v>
      </c>
      <c r="R24" s="715" t="str">
        <f>IFERROR(M24/L24,"-")</f>
        <v>-</v>
      </c>
      <c r="S24" s="715" t="str">
        <f>IFERROR(M24/O24,"-")</f>
        <v>-</v>
      </c>
      <c r="T24" s="714" t="str">
        <f t="shared" ref="T24:T25" si="9">IFERROR(J24/F24-1,"-")</f>
        <v>-</v>
      </c>
      <c r="U24" s="716" t="str">
        <f t="shared" ref="U24:U25" si="10">IFERROR(M24/G24-1,"-")</f>
        <v>-</v>
      </c>
      <c r="V24" s="607"/>
      <c r="W24" s="675"/>
      <c r="X24" s="676"/>
      <c r="Y24" s="676"/>
      <c r="Z24" s="676"/>
      <c r="AA24" s="676"/>
      <c r="AB24" s="676"/>
      <c r="AC24" s="676"/>
      <c r="AD24" s="676"/>
      <c r="AE24" s="676"/>
      <c r="AF24" s="676"/>
      <c r="AG24" s="676"/>
      <c r="AH24" s="676"/>
      <c r="AI24" s="675"/>
      <c r="AJ24" s="675"/>
      <c r="AK24" s="675"/>
      <c r="AL24" s="675"/>
      <c r="AM24" s="675"/>
      <c r="AN24" s="675"/>
      <c r="AO24" s="675"/>
      <c r="AP24" s="675"/>
    </row>
    <row r="25" spans="2:42" ht="24.95" customHeight="1" x14ac:dyDescent="0.25">
      <c r="B25" s="640" t="s">
        <v>138</v>
      </c>
      <c r="C25" s="2"/>
      <c r="D25" s="818"/>
      <c r="E25" s="3"/>
      <c r="F25" s="239"/>
      <c r="G25" s="239"/>
      <c r="H25" s="739"/>
      <c r="I25" s="239"/>
      <c r="J25" s="239"/>
      <c r="K25" s="739"/>
      <c r="L25" s="239"/>
      <c r="M25" s="239"/>
      <c r="N25" s="713"/>
      <c r="O25" s="239"/>
      <c r="P25" s="255"/>
      <c r="Q25" s="719" t="str">
        <f t="shared" si="8"/>
        <v>-</v>
      </c>
      <c r="R25" s="720" t="str">
        <f t="shared" ref="R25" si="11">IFERROR(M25/L25,"-")</f>
        <v>-</v>
      </c>
      <c r="S25" s="720" t="str">
        <f t="shared" ref="S25:S28" si="12">IFERROR(M25/O25,"-")</f>
        <v>-</v>
      </c>
      <c r="T25" s="719" t="str">
        <f t="shared" si="9"/>
        <v>-</v>
      </c>
      <c r="U25" s="721" t="str">
        <f t="shared" si="10"/>
        <v>-</v>
      </c>
      <c r="V25" s="607"/>
      <c r="W25" s="675"/>
      <c r="X25" s="676"/>
      <c r="Y25" s="676"/>
      <c r="Z25" s="676"/>
      <c r="AA25" s="676"/>
      <c r="AB25" s="676"/>
      <c r="AC25" s="676"/>
      <c r="AD25" s="676"/>
      <c r="AE25" s="676"/>
      <c r="AF25" s="676"/>
      <c r="AG25" s="676"/>
      <c r="AH25" s="676"/>
      <c r="AI25" s="675"/>
      <c r="AJ25" s="675"/>
      <c r="AK25" s="675"/>
      <c r="AL25" s="675"/>
      <c r="AM25" s="675"/>
      <c r="AN25" s="675"/>
      <c r="AO25" s="675"/>
      <c r="AP25" s="675"/>
    </row>
    <row r="26" spans="2:42" ht="24.95" customHeight="1" x14ac:dyDescent="0.25">
      <c r="B26" s="638" t="s">
        <v>21</v>
      </c>
      <c r="C26" s="2"/>
      <c r="D26" s="816" t="s">
        <v>22</v>
      </c>
      <c r="E26" s="3"/>
      <c r="F26" s="243"/>
      <c r="G26" s="740"/>
      <c r="H26" s="241"/>
      <c r="I26" s="243"/>
      <c r="J26" s="550"/>
      <c r="K26" s="249"/>
      <c r="L26" s="243"/>
      <c r="M26" s="243"/>
      <c r="N26" s="241"/>
      <c r="O26" s="243"/>
      <c r="P26" s="255"/>
      <c r="Q26" s="709" t="str">
        <f t="shared" si="8"/>
        <v>-</v>
      </c>
      <c r="R26" s="710" t="str">
        <f>IFERROR(M26/L26,"-")</f>
        <v>-</v>
      </c>
      <c r="S26" s="710" t="str">
        <f>IFERROR(M26/O26,"-")</f>
        <v>-</v>
      </c>
      <c r="T26" s="709" t="str">
        <f>IFERROR(J26/F26-1,"-")</f>
        <v>-</v>
      </c>
      <c r="U26" s="711" t="str">
        <f>IFERROR(M26/G26-1,"-")</f>
        <v>-</v>
      </c>
      <c r="W26" s="675"/>
      <c r="X26" s="676"/>
      <c r="Y26" s="676"/>
      <c r="Z26" s="676"/>
      <c r="AA26" s="676"/>
      <c r="AB26" s="676"/>
      <c r="AC26" s="676"/>
      <c r="AD26" s="676"/>
      <c r="AE26" s="676"/>
      <c r="AF26" s="676"/>
      <c r="AG26" s="676"/>
      <c r="AH26" s="676"/>
      <c r="AI26" s="675"/>
      <c r="AJ26" s="675"/>
      <c r="AK26" s="675"/>
      <c r="AL26" s="675"/>
      <c r="AM26" s="675"/>
      <c r="AN26" s="675"/>
      <c r="AO26" s="675"/>
      <c r="AP26" s="675"/>
    </row>
    <row r="27" spans="2:42" ht="24.95" customHeight="1" x14ac:dyDescent="0.25">
      <c r="B27" s="639" t="s">
        <v>137</v>
      </c>
      <c r="C27" s="2"/>
      <c r="D27" s="817"/>
      <c r="E27" s="3"/>
      <c r="F27" s="137"/>
      <c r="G27" s="137"/>
      <c r="H27" s="138"/>
      <c r="I27" s="137"/>
      <c r="J27" s="137"/>
      <c r="K27" s="138"/>
      <c r="L27" s="137"/>
      <c r="M27" s="137"/>
      <c r="N27" s="713"/>
      <c r="O27" s="725"/>
      <c r="P27" s="255"/>
      <c r="Q27" s="714" t="str">
        <f t="shared" si="8"/>
        <v>-</v>
      </c>
      <c r="R27" s="715" t="str">
        <f t="shared" ref="R27:R28" si="13">IFERROR(M27/L27,"-")</f>
        <v>-</v>
      </c>
      <c r="S27" s="715" t="str">
        <f t="shared" si="12"/>
        <v>-</v>
      </c>
      <c r="T27" s="714" t="str">
        <f t="shared" ref="T27:T28" si="14">IFERROR(J27/F27-1,"-")</f>
        <v>-</v>
      </c>
      <c r="U27" s="716" t="str">
        <f t="shared" ref="U27:U28" si="15">IFERROR(M27/G27-1,"-")</f>
        <v>-</v>
      </c>
      <c r="V27" s="607"/>
      <c r="W27" s="675"/>
      <c r="X27" s="676"/>
      <c r="Y27" s="676"/>
      <c r="Z27" s="676"/>
      <c r="AA27" s="676"/>
      <c r="AB27" s="676"/>
      <c r="AC27" s="676"/>
      <c r="AD27" s="676"/>
      <c r="AE27" s="676"/>
      <c r="AF27" s="676"/>
      <c r="AG27" s="676"/>
      <c r="AH27" s="676"/>
      <c r="AI27" s="675"/>
      <c r="AJ27" s="675"/>
      <c r="AK27" s="675"/>
      <c r="AL27" s="675"/>
      <c r="AM27" s="675"/>
      <c r="AN27" s="675"/>
      <c r="AO27" s="675"/>
      <c r="AP27" s="675"/>
    </row>
    <row r="28" spans="2:42" ht="24.95" customHeight="1" x14ac:dyDescent="0.25">
      <c r="B28" s="640" t="s">
        <v>138</v>
      </c>
      <c r="C28" s="2"/>
      <c r="D28" s="818"/>
      <c r="E28" s="3"/>
      <c r="F28" s="239"/>
      <c r="G28" s="246"/>
      <c r="H28" s="138"/>
      <c r="I28" s="239"/>
      <c r="J28" s="239"/>
      <c r="K28" s="733"/>
      <c r="L28" s="239"/>
      <c r="M28" s="239"/>
      <c r="N28" s="713"/>
      <c r="O28" s="239"/>
      <c r="P28" s="255"/>
      <c r="Q28" s="719" t="str">
        <f t="shared" si="8"/>
        <v>-</v>
      </c>
      <c r="R28" s="720" t="str">
        <f t="shared" si="13"/>
        <v>-</v>
      </c>
      <c r="S28" s="720" t="str">
        <f t="shared" si="12"/>
        <v>-</v>
      </c>
      <c r="T28" s="719" t="str">
        <f t="shared" si="14"/>
        <v>-</v>
      </c>
      <c r="U28" s="721" t="str">
        <f t="shared" si="15"/>
        <v>-</v>
      </c>
      <c r="W28" s="675"/>
      <c r="X28" s="676"/>
      <c r="Y28" s="676"/>
      <c r="Z28" s="676"/>
      <c r="AA28" s="676"/>
      <c r="AB28" s="676"/>
      <c r="AC28" s="676"/>
      <c r="AD28" s="676"/>
      <c r="AE28" s="676"/>
      <c r="AF28" s="676"/>
      <c r="AG28" s="676"/>
      <c r="AH28" s="676"/>
      <c r="AI28" s="675"/>
      <c r="AJ28" s="675"/>
      <c r="AK28" s="675"/>
      <c r="AL28" s="675"/>
      <c r="AM28" s="675"/>
      <c r="AN28" s="675"/>
      <c r="AO28" s="675"/>
      <c r="AP28" s="675"/>
    </row>
    <row r="29" spans="2:42" ht="24.95" customHeight="1" x14ac:dyDescent="0.25">
      <c r="G29" s="480"/>
      <c r="H29" s="480"/>
      <c r="I29" s="480"/>
      <c r="J29" s="480"/>
      <c r="K29" s="608"/>
      <c r="L29" s="608"/>
      <c r="M29" s="608"/>
      <c r="N29" s="608"/>
      <c r="O29" s="608"/>
      <c r="P29" s="592"/>
      <c r="V29" s="675"/>
      <c r="W29" s="675"/>
      <c r="X29" s="676"/>
      <c r="Y29" s="676"/>
      <c r="Z29" s="676"/>
      <c r="AA29" s="676"/>
      <c r="AB29" s="676"/>
      <c r="AC29" s="676"/>
      <c r="AD29" s="676"/>
      <c r="AE29" s="676"/>
      <c r="AF29" s="676"/>
      <c r="AG29" s="676"/>
      <c r="AH29" s="676"/>
    </row>
    <row r="30" spans="2:42" ht="24.95" customHeight="1" x14ac:dyDescent="0.25">
      <c r="G30" s="480"/>
      <c r="H30" s="480"/>
      <c r="I30" s="480"/>
      <c r="J30" s="480"/>
      <c r="K30" s="608"/>
      <c r="L30" s="608"/>
      <c r="M30" s="608"/>
      <c r="N30" s="608"/>
      <c r="O30" s="608"/>
      <c r="P30" s="592"/>
      <c r="R30" s="609"/>
      <c r="S30" s="609"/>
      <c r="V30" s="675"/>
      <c r="W30" s="675"/>
      <c r="X30" s="675"/>
      <c r="Y30" s="676"/>
      <c r="Z30" s="676"/>
      <c r="AA30" s="676"/>
      <c r="AB30" s="676"/>
      <c r="AC30" s="676"/>
      <c r="AD30" s="676"/>
      <c r="AE30" s="676"/>
      <c r="AF30" s="676"/>
      <c r="AG30" s="676"/>
      <c r="AH30" s="676"/>
      <c r="AI30" s="676"/>
      <c r="AJ30" s="676"/>
    </row>
    <row r="31" spans="2:42" ht="24.95" customHeight="1" x14ac:dyDescent="0.25">
      <c r="D31" s="804"/>
      <c r="E31" s="3"/>
      <c r="F31" s="3"/>
      <c r="G31" s="480"/>
      <c r="H31" s="480"/>
      <c r="I31" s="480"/>
      <c r="J31" s="480"/>
      <c r="K31" s="480"/>
      <c r="L31" s="480"/>
      <c r="M31" s="480"/>
      <c r="N31" s="480"/>
      <c r="O31" s="480"/>
      <c r="P31" s="592"/>
      <c r="R31" s="609"/>
      <c r="S31" s="609"/>
      <c r="V31" s="675"/>
      <c r="W31" s="675"/>
      <c r="X31" s="675"/>
      <c r="Y31" s="676"/>
      <c r="Z31" s="676"/>
      <c r="AA31" s="676"/>
      <c r="AB31" s="676"/>
      <c r="AC31" s="676"/>
      <c r="AD31" s="676"/>
      <c r="AE31" s="676"/>
      <c r="AF31" s="676"/>
      <c r="AG31" s="676"/>
      <c r="AH31" s="676"/>
      <c r="AI31" s="676"/>
      <c r="AJ31" s="676"/>
    </row>
    <row r="32" spans="2:42" ht="24.95" customHeight="1" x14ac:dyDescent="0.25">
      <c r="D32" s="702"/>
      <c r="E32" s="3"/>
      <c r="F32" s="3"/>
      <c r="G32" s="480"/>
      <c r="H32" s="480"/>
      <c r="I32" s="480"/>
      <c r="J32" s="480"/>
      <c r="K32" s="480"/>
      <c r="L32" s="480"/>
      <c r="M32" s="480"/>
      <c r="N32" s="480"/>
      <c r="O32" s="480"/>
      <c r="P32" s="592"/>
      <c r="R32" s="609"/>
      <c r="S32" s="609"/>
      <c r="V32" s="675"/>
      <c r="W32" s="675"/>
      <c r="X32" s="675"/>
      <c r="Y32" s="676"/>
      <c r="Z32" s="676"/>
      <c r="AA32" s="676"/>
      <c r="AB32" s="676"/>
      <c r="AC32" s="676"/>
      <c r="AD32" s="676"/>
      <c r="AE32" s="676"/>
      <c r="AF32" s="676"/>
      <c r="AG32" s="676"/>
      <c r="AH32" s="676"/>
      <c r="AI32" s="676"/>
      <c r="AJ32" s="676"/>
    </row>
    <row r="33" spans="4:34" ht="24.95" customHeight="1" x14ac:dyDescent="0.25">
      <c r="D33" s="702"/>
      <c r="E33" s="3"/>
      <c r="F33" s="3"/>
      <c r="G33" s="480"/>
      <c r="H33" s="480"/>
      <c r="I33" s="480"/>
      <c r="J33" s="480"/>
      <c r="K33" s="480"/>
      <c r="L33" s="480"/>
      <c r="M33" s="480"/>
      <c r="N33" s="480"/>
      <c r="O33" s="480"/>
      <c r="P33" s="592"/>
      <c r="R33" s="609"/>
      <c r="S33" s="609"/>
      <c r="V33" s="675"/>
      <c r="W33" s="675"/>
      <c r="X33" s="675"/>
      <c r="Y33" s="675"/>
      <c r="Z33" s="675"/>
      <c r="AA33" s="675"/>
      <c r="AB33" s="675"/>
      <c r="AC33" s="675"/>
      <c r="AD33" s="675"/>
      <c r="AE33" s="675"/>
      <c r="AF33" s="675"/>
      <c r="AG33" s="676"/>
      <c r="AH33" s="676"/>
    </row>
    <row r="34" spans="4:34" ht="24.95" customHeight="1" x14ac:dyDescent="0.25">
      <c r="D34" s="702"/>
      <c r="E34" s="3"/>
      <c r="F34" s="3"/>
      <c r="G34" s="480"/>
      <c r="H34" s="480"/>
      <c r="I34" s="480"/>
      <c r="J34" s="480"/>
      <c r="K34" s="480"/>
      <c r="L34" s="480"/>
      <c r="M34" s="480"/>
      <c r="N34" s="480"/>
      <c r="O34" s="480"/>
      <c r="P34" s="592"/>
      <c r="R34" s="609"/>
      <c r="S34" s="609"/>
      <c r="V34" s="675"/>
      <c r="W34" s="675"/>
      <c r="X34" s="675"/>
      <c r="Y34" s="675"/>
      <c r="Z34" s="675"/>
      <c r="AA34" s="675"/>
      <c r="AB34" s="675"/>
      <c r="AC34" s="675"/>
      <c r="AD34" s="675"/>
      <c r="AE34" s="675"/>
      <c r="AF34" s="675"/>
      <c r="AG34" s="675"/>
    </row>
    <row r="35" spans="4:34" ht="24.95" customHeight="1" x14ac:dyDescent="0.25">
      <c r="D35" s="702"/>
      <c r="E35" s="3"/>
      <c r="F35" s="3"/>
      <c r="G35" s="480"/>
      <c r="H35" s="480"/>
      <c r="I35" s="480"/>
      <c r="J35" s="480"/>
      <c r="K35" s="480"/>
      <c r="L35" s="480"/>
      <c r="M35" s="480"/>
      <c r="N35" s="480"/>
      <c r="O35" s="480"/>
      <c r="P35" s="592"/>
      <c r="R35" s="607"/>
      <c r="V35" s="675"/>
      <c r="W35" s="675"/>
      <c r="X35" s="675"/>
      <c r="Y35" s="675"/>
      <c r="Z35" s="675"/>
      <c r="AA35" s="675"/>
      <c r="AB35" s="675"/>
      <c r="AC35" s="675"/>
      <c r="AD35" s="675"/>
      <c r="AE35" s="675"/>
      <c r="AF35" s="675"/>
      <c r="AG35" s="675"/>
    </row>
    <row r="36" spans="4:34" ht="24.95" customHeight="1" x14ac:dyDescent="0.25">
      <c r="D36" s="702"/>
      <c r="E36" s="3"/>
      <c r="F36" s="3"/>
      <c r="G36" s="480"/>
      <c r="H36" s="480"/>
      <c r="I36" s="480"/>
      <c r="J36" s="480"/>
      <c r="K36" s="480"/>
      <c r="L36" s="480"/>
      <c r="M36" s="480"/>
      <c r="N36" s="480"/>
      <c r="O36" s="480"/>
      <c r="P36" s="592"/>
      <c r="R36" s="607"/>
      <c r="V36" s="675"/>
      <c r="W36" s="675"/>
      <c r="X36" s="675"/>
      <c r="Y36" s="675"/>
      <c r="Z36" s="675"/>
      <c r="AA36" s="675"/>
      <c r="AB36" s="675"/>
      <c r="AC36" s="675"/>
      <c r="AD36" s="675"/>
      <c r="AE36" s="675"/>
      <c r="AF36" s="675"/>
      <c r="AG36" s="675"/>
    </row>
    <row r="37" spans="4:34" ht="24.95" customHeight="1" x14ac:dyDescent="0.25">
      <c r="D37" s="702"/>
      <c r="E37" s="3"/>
      <c r="F37" s="797"/>
      <c r="G37" s="797"/>
      <c r="H37" s="797"/>
      <c r="I37" s="797"/>
      <c r="J37" s="797"/>
      <c r="K37" s="797"/>
      <c r="L37" s="797"/>
      <c r="M37" s="797"/>
      <c r="N37" s="797"/>
      <c r="O37" s="797"/>
      <c r="P37" s="592"/>
      <c r="R37" s="607"/>
      <c r="V37" s="675"/>
      <c r="W37" s="675"/>
      <c r="X37" s="675"/>
      <c r="Y37" s="675"/>
      <c r="Z37" s="675"/>
      <c r="AA37" s="675"/>
      <c r="AB37" s="675"/>
      <c r="AC37" s="675"/>
      <c r="AD37" s="675"/>
      <c r="AE37" s="675"/>
      <c r="AF37" s="675"/>
      <c r="AG37" s="675"/>
    </row>
    <row r="38" spans="4:34" ht="24.95" customHeight="1" x14ac:dyDescent="0.25">
      <c r="D38" s="702"/>
      <c r="E38" s="3"/>
      <c r="F38" s="797"/>
      <c r="G38" s="797"/>
      <c r="H38" s="797"/>
      <c r="I38" s="797"/>
      <c r="J38" s="797"/>
      <c r="K38" s="797"/>
      <c r="L38" s="797"/>
      <c r="M38" s="797"/>
      <c r="N38" s="797"/>
      <c r="O38" s="797"/>
      <c r="V38" s="675"/>
      <c r="W38" s="675"/>
      <c r="X38" s="675"/>
      <c r="Y38" s="675"/>
      <c r="Z38" s="675"/>
      <c r="AA38" s="675"/>
      <c r="AB38" s="675"/>
      <c r="AC38" s="675"/>
      <c r="AD38" s="675"/>
      <c r="AE38" s="675"/>
      <c r="AF38" s="675"/>
      <c r="AG38" s="675"/>
    </row>
    <row r="39" spans="4:34" ht="24.95" customHeight="1" x14ac:dyDescent="0.25">
      <c r="D39" s="702"/>
      <c r="E39" s="3"/>
      <c r="F39" s="480"/>
      <c r="G39" s="480"/>
      <c r="H39" s="480"/>
      <c r="I39" s="480"/>
      <c r="J39" s="480"/>
      <c r="K39" s="480"/>
      <c r="L39" s="480"/>
      <c r="M39" s="480"/>
      <c r="N39" s="480"/>
      <c r="O39" s="480"/>
      <c r="R39" s="607"/>
      <c r="V39" s="675"/>
      <c r="W39" s="675"/>
      <c r="X39" s="675"/>
      <c r="Y39" s="675"/>
      <c r="Z39" s="675"/>
      <c r="AA39" s="675"/>
      <c r="AB39" s="675"/>
      <c r="AC39" s="675"/>
      <c r="AD39" s="675"/>
      <c r="AE39" s="675"/>
      <c r="AF39" s="675"/>
      <c r="AG39" s="675"/>
    </row>
    <row r="40" spans="4:34" ht="24.95" customHeight="1" x14ac:dyDescent="0.25">
      <c r="D40" s="702"/>
      <c r="E40" s="3"/>
      <c r="F40" s="480"/>
      <c r="G40" s="480"/>
      <c r="H40" s="480"/>
      <c r="I40" s="480"/>
      <c r="J40" s="480"/>
      <c r="K40" s="480"/>
      <c r="L40" s="480"/>
      <c r="M40" s="480"/>
      <c r="N40" s="480"/>
      <c r="O40" s="480"/>
      <c r="V40" s="675"/>
      <c r="W40" s="675"/>
      <c r="X40" s="675"/>
      <c r="Y40" s="675"/>
      <c r="Z40" s="675"/>
      <c r="AA40" s="675"/>
      <c r="AB40" s="675"/>
      <c r="AC40" s="675"/>
      <c r="AD40" s="675"/>
      <c r="AE40" s="675"/>
      <c r="AF40" s="675"/>
      <c r="AG40" s="675"/>
    </row>
    <row r="41" spans="4:34" ht="24.95" customHeight="1" x14ac:dyDescent="0.25">
      <c r="D41" s="805"/>
      <c r="E41" s="806"/>
      <c r="F41" s="480"/>
      <c r="G41" s="480"/>
      <c r="H41" s="480"/>
      <c r="I41" s="480"/>
      <c r="J41" s="480"/>
      <c r="K41" s="480"/>
      <c r="L41" s="480"/>
      <c r="M41" s="480"/>
      <c r="N41" s="480"/>
      <c r="O41" s="480"/>
      <c r="P41" s="608"/>
      <c r="R41" s="609"/>
      <c r="S41" s="609"/>
      <c r="T41" s="598"/>
      <c r="V41" s="675"/>
      <c r="W41" s="675"/>
      <c r="X41" s="675"/>
      <c r="Y41" s="675"/>
      <c r="Z41" s="675"/>
      <c r="AA41" s="675"/>
      <c r="AB41" s="675"/>
      <c r="AC41" s="675"/>
      <c r="AD41" s="675"/>
      <c r="AE41" s="675"/>
      <c r="AF41" s="675"/>
      <c r="AG41" s="675"/>
    </row>
    <row r="42" spans="4:34" ht="24.95" customHeight="1" x14ac:dyDescent="0.25">
      <c r="D42" s="702"/>
      <c r="E42" s="3"/>
      <c r="F42" s="480"/>
      <c r="G42" s="480"/>
      <c r="H42" s="480"/>
      <c r="I42" s="480"/>
      <c r="J42" s="480"/>
      <c r="K42" s="480"/>
      <c r="L42" s="480"/>
      <c r="M42" s="480"/>
      <c r="N42" s="480"/>
      <c r="O42" s="480"/>
      <c r="P42" s="608"/>
      <c r="R42" s="609"/>
      <c r="V42" s="675"/>
      <c r="W42" s="675"/>
      <c r="X42" s="675"/>
      <c r="Y42" s="675"/>
      <c r="Z42" s="675"/>
      <c r="AA42" s="675"/>
      <c r="AB42" s="675"/>
      <c r="AC42" s="675"/>
      <c r="AD42" s="675"/>
      <c r="AE42" s="675"/>
      <c r="AF42" s="675"/>
      <c r="AG42" s="675"/>
    </row>
    <row r="43" spans="4:34" x14ac:dyDescent="0.25">
      <c r="D43" s="702"/>
      <c r="E43" s="3"/>
      <c r="F43" s="480"/>
      <c r="G43" s="480"/>
      <c r="H43" s="480"/>
      <c r="I43" s="480"/>
      <c r="J43" s="480"/>
      <c r="K43" s="480"/>
      <c r="L43" s="480"/>
      <c r="M43" s="480"/>
      <c r="N43" s="480"/>
      <c r="O43" s="480"/>
      <c r="P43" s="608"/>
      <c r="V43" s="675"/>
      <c r="W43" s="675"/>
      <c r="X43" s="675"/>
      <c r="Y43" s="675"/>
      <c r="Z43" s="675"/>
      <c r="AA43" s="675"/>
      <c r="AB43" s="675"/>
      <c r="AC43" s="675"/>
      <c r="AD43" s="675"/>
      <c r="AE43" s="675"/>
      <c r="AF43" s="675"/>
      <c r="AG43" s="675"/>
    </row>
    <row r="44" spans="4:34" x14ac:dyDescent="0.25">
      <c r="F44" s="480"/>
      <c r="G44" s="480"/>
      <c r="H44" s="480"/>
      <c r="I44" s="480"/>
      <c r="J44" s="480"/>
      <c r="K44" s="480"/>
      <c r="L44" s="480"/>
      <c r="M44" s="480"/>
      <c r="N44" s="480"/>
      <c r="O44" s="480"/>
      <c r="P44" s="680"/>
      <c r="Q44" s="480"/>
      <c r="R44" s="480"/>
      <c r="S44" s="480"/>
      <c r="T44" s="480"/>
      <c r="U44" s="480"/>
      <c r="V44" s="675"/>
      <c r="W44" s="675"/>
      <c r="X44" s="675"/>
      <c r="Y44" s="675"/>
      <c r="Z44" s="675"/>
      <c r="AA44" s="675"/>
      <c r="AB44" s="675"/>
      <c r="AC44" s="675"/>
      <c r="AD44" s="675"/>
      <c r="AE44" s="675"/>
      <c r="AF44" s="675"/>
      <c r="AG44" s="675"/>
    </row>
    <row r="45" spans="4:34" x14ac:dyDescent="0.25">
      <c r="F45" s="480"/>
      <c r="G45" s="480"/>
      <c r="H45" s="480"/>
      <c r="I45" s="480"/>
      <c r="J45" s="480"/>
      <c r="K45" s="480"/>
      <c r="L45" s="480"/>
      <c r="M45" s="480"/>
      <c r="N45" s="480"/>
      <c r="O45" s="480"/>
      <c r="P45" s="680"/>
      <c r="S45" s="610"/>
      <c r="V45" s="675"/>
      <c r="W45" s="675"/>
      <c r="X45" s="675"/>
      <c r="Y45" s="675"/>
      <c r="Z45" s="675"/>
      <c r="AA45" s="675"/>
      <c r="AB45" s="675"/>
      <c r="AC45" s="675"/>
      <c r="AD45" s="675"/>
      <c r="AE45" s="675"/>
      <c r="AF45" s="675"/>
      <c r="AG45" s="675"/>
    </row>
    <row r="46" spans="4:34" x14ac:dyDescent="0.25">
      <c r="F46" s="480"/>
      <c r="G46" s="480"/>
      <c r="H46" s="480"/>
      <c r="I46" s="480"/>
      <c r="J46" s="480"/>
      <c r="K46" s="480"/>
      <c r="L46" s="480"/>
      <c r="M46" s="480"/>
      <c r="N46" s="480"/>
      <c r="O46" s="480"/>
      <c r="P46" s="680"/>
      <c r="V46" s="675"/>
      <c r="W46" s="675"/>
      <c r="X46" s="675"/>
      <c r="Y46" s="675"/>
      <c r="Z46" s="675"/>
      <c r="AA46" s="675"/>
      <c r="AB46" s="675"/>
      <c r="AC46" s="675"/>
      <c r="AD46" s="675"/>
      <c r="AE46" s="675"/>
      <c r="AF46" s="675"/>
      <c r="AG46" s="675"/>
    </row>
    <row r="47" spans="4:34" x14ac:dyDescent="0.25">
      <c r="F47" s="608"/>
      <c r="G47" s="608"/>
      <c r="H47" s="608"/>
      <c r="I47" s="608"/>
      <c r="J47" s="608"/>
      <c r="K47" s="608"/>
      <c r="L47" s="608"/>
      <c r="M47" s="608"/>
      <c r="N47" s="608"/>
      <c r="O47" s="608"/>
      <c r="P47" s="680"/>
      <c r="V47" s="675"/>
      <c r="W47" s="675"/>
      <c r="X47" s="675"/>
      <c r="Y47" s="675"/>
      <c r="Z47" s="675"/>
      <c r="AA47" s="675"/>
      <c r="AB47" s="675"/>
      <c r="AC47" s="675"/>
      <c r="AD47" s="675"/>
      <c r="AE47" s="675"/>
      <c r="AF47" s="675"/>
      <c r="AG47" s="675"/>
    </row>
    <row r="48" spans="4:34" x14ac:dyDescent="0.25">
      <c r="F48" s="608"/>
      <c r="G48" s="608"/>
      <c r="H48" s="608"/>
      <c r="I48" s="608"/>
      <c r="J48" s="608"/>
      <c r="K48" s="608"/>
      <c r="L48" s="608"/>
      <c r="M48" s="608"/>
      <c r="N48" s="608"/>
      <c r="O48" s="608"/>
      <c r="P48" s="680"/>
      <c r="V48" s="675"/>
      <c r="W48" s="675"/>
      <c r="X48" s="675"/>
      <c r="Y48" s="675"/>
      <c r="Z48" s="675"/>
      <c r="AA48" s="675"/>
      <c r="AB48" s="675"/>
      <c r="AC48" s="675"/>
      <c r="AD48" s="675"/>
      <c r="AE48" s="675"/>
      <c r="AF48" s="675"/>
      <c r="AG48" s="675"/>
    </row>
    <row r="49" spans="6:33" x14ac:dyDescent="0.25">
      <c r="F49" s="608"/>
      <c r="G49" s="608"/>
      <c r="H49" s="608"/>
      <c r="I49" s="608"/>
      <c r="J49" s="608"/>
      <c r="K49" s="608"/>
      <c r="L49" s="608"/>
      <c r="M49" s="608"/>
      <c r="N49" s="608"/>
      <c r="O49" s="608"/>
      <c r="P49" s="680"/>
      <c r="Q49" s="680"/>
      <c r="V49" s="675"/>
      <c r="W49" s="675"/>
      <c r="X49" s="675"/>
      <c r="Y49" s="675"/>
      <c r="Z49" s="675"/>
      <c r="AA49" s="675"/>
      <c r="AB49" s="675"/>
      <c r="AC49" s="675"/>
      <c r="AD49" s="675"/>
      <c r="AE49" s="675"/>
      <c r="AF49" s="675"/>
      <c r="AG49" s="675"/>
    </row>
    <row r="50" spans="6:33" x14ac:dyDescent="0.25">
      <c r="F50" s="608"/>
      <c r="G50" s="608"/>
      <c r="H50" s="608"/>
      <c r="I50" s="608"/>
      <c r="J50" s="608"/>
      <c r="K50" s="608"/>
      <c r="L50" s="608"/>
      <c r="M50" s="608"/>
      <c r="N50" s="608"/>
      <c r="O50" s="608"/>
      <c r="P50" s="680"/>
      <c r="V50" s="675"/>
      <c r="W50" s="675"/>
      <c r="X50" s="675"/>
      <c r="Y50" s="675"/>
      <c r="Z50" s="675"/>
      <c r="AA50" s="675"/>
      <c r="AB50" s="675"/>
      <c r="AC50" s="675"/>
      <c r="AD50" s="675"/>
      <c r="AE50" s="675"/>
    </row>
    <row r="51" spans="6:33" x14ac:dyDescent="0.25">
      <c r="F51" s="608"/>
      <c r="G51" s="608"/>
      <c r="H51" s="608"/>
      <c r="I51" s="608"/>
      <c r="J51" s="608"/>
      <c r="K51" s="608"/>
      <c r="L51" s="608"/>
      <c r="M51" s="608"/>
      <c r="N51" s="608"/>
      <c r="O51" s="608"/>
      <c r="P51" s="680"/>
      <c r="Q51" s="608"/>
      <c r="R51" s="608"/>
      <c r="S51" s="608"/>
      <c r="T51" s="608"/>
      <c r="V51" s="675"/>
      <c r="W51" s="675"/>
      <c r="X51" s="675"/>
      <c r="Y51" s="675"/>
      <c r="Z51" s="675"/>
      <c r="AA51" s="675"/>
      <c r="AB51" s="675"/>
      <c r="AC51" s="675"/>
      <c r="AD51" s="675"/>
      <c r="AE51" s="675"/>
    </row>
    <row r="52" spans="6:33" x14ac:dyDescent="0.25">
      <c r="F52" s="608"/>
      <c r="G52" s="608"/>
      <c r="H52" s="608"/>
      <c r="I52" s="608"/>
      <c r="J52" s="608"/>
      <c r="K52" s="608"/>
      <c r="L52" s="608"/>
      <c r="M52" s="608"/>
      <c r="N52" s="608"/>
      <c r="O52" s="608"/>
      <c r="P52" s="680"/>
      <c r="Q52" s="608"/>
      <c r="R52" s="608"/>
      <c r="S52" s="608"/>
      <c r="T52" s="608"/>
      <c r="V52" s="675"/>
      <c r="W52" s="675"/>
      <c r="X52" s="675"/>
      <c r="Y52" s="675"/>
      <c r="Z52" s="675"/>
      <c r="AA52" s="675"/>
      <c r="AB52" s="675"/>
      <c r="AC52" s="675"/>
      <c r="AD52" s="675"/>
      <c r="AE52" s="675"/>
    </row>
    <row r="53" spans="6:33" x14ac:dyDescent="0.25">
      <c r="F53" s="608"/>
      <c r="G53" s="608"/>
      <c r="H53" s="608"/>
      <c r="I53" s="608"/>
      <c r="J53" s="608"/>
      <c r="K53" s="608"/>
      <c r="L53" s="608"/>
      <c r="M53" s="608"/>
      <c r="N53" s="608"/>
      <c r="O53" s="608"/>
      <c r="P53" s="680"/>
      <c r="Q53" s="608"/>
      <c r="R53" s="608"/>
      <c r="S53" s="608"/>
      <c r="T53" s="608"/>
      <c r="V53" s="675"/>
      <c r="W53" s="675"/>
      <c r="X53" s="675"/>
      <c r="Y53" s="675"/>
      <c r="Z53" s="675"/>
      <c r="AA53" s="675"/>
      <c r="AB53" s="675"/>
      <c r="AC53" s="675"/>
      <c r="AD53" s="675"/>
      <c r="AE53" s="675"/>
    </row>
    <row r="54" spans="6:33" x14ac:dyDescent="0.25">
      <c r="F54" s="608"/>
      <c r="G54" s="608"/>
      <c r="H54" s="608"/>
      <c r="I54" s="608"/>
      <c r="J54" s="608"/>
      <c r="K54" s="608"/>
      <c r="L54" s="608"/>
      <c r="M54" s="608"/>
      <c r="N54" s="608"/>
      <c r="O54" s="608"/>
      <c r="P54" s="680"/>
      <c r="Q54" s="608"/>
      <c r="R54" s="608"/>
      <c r="S54" s="608"/>
      <c r="T54" s="608"/>
      <c r="V54" s="675"/>
      <c r="W54" s="675"/>
      <c r="X54" s="675"/>
      <c r="Y54" s="675"/>
      <c r="Z54" s="675"/>
      <c r="AA54" s="675"/>
      <c r="AB54" s="675"/>
      <c r="AC54" s="675"/>
      <c r="AD54" s="675"/>
      <c r="AE54" s="675"/>
    </row>
    <row r="55" spans="6:33" x14ac:dyDescent="0.25">
      <c r="F55" s="608"/>
      <c r="G55" s="608"/>
      <c r="H55" s="608"/>
      <c r="I55" s="608"/>
      <c r="J55" s="608"/>
      <c r="K55" s="608"/>
      <c r="L55" s="608"/>
      <c r="M55" s="608"/>
      <c r="N55" s="608"/>
      <c r="O55" s="608"/>
      <c r="P55" s="680"/>
      <c r="Q55" s="608"/>
      <c r="R55" s="608"/>
      <c r="S55" s="608"/>
      <c r="T55" s="608"/>
      <c r="V55" s="675"/>
      <c r="W55" s="675"/>
      <c r="X55" s="675"/>
      <c r="Y55" s="675"/>
      <c r="Z55" s="675"/>
      <c r="AA55" s="675"/>
      <c r="AB55" s="675"/>
      <c r="AC55" s="675"/>
      <c r="AD55" s="675"/>
      <c r="AE55" s="675"/>
    </row>
    <row r="56" spans="6:33" x14ac:dyDescent="0.25">
      <c r="F56" s="608"/>
      <c r="G56" s="608"/>
      <c r="H56" s="608"/>
      <c r="I56" s="608"/>
      <c r="J56" s="608"/>
      <c r="K56" s="608"/>
      <c r="L56" s="608"/>
      <c r="M56" s="608"/>
      <c r="N56" s="608"/>
      <c r="O56" s="608"/>
      <c r="P56" s="680"/>
      <c r="Q56" s="608"/>
      <c r="R56" s="608"/>
      <c r="S56" s="608"/>
      <c r="T56" s="608"/>
      <c r="V56" s="675"/>
      <c r="W56" s="675"/>
      <c r="X56" s="675"/>
      <c r="Y56" s="675"/>
      <c r="Z56" s="675"/>
      <c r="AA56" s="675"/>
      <c r="AB56" s="675"/>
      <c r="AC56" s="675"/>
      <c r="AD56" s="675"/>
      <c r="AE56" s="675"/>
    </row>
    <row r="57" spans="6:33" x14ac:dyDescent="0.25">
      <c r="F57" s="680"/>
      <c r="G57" s="680"/>
      <c r="H57" s="680"/>
      <c r="I57" s="680"/>
      <c r="J57" s="680"/>
      <c r="K57" s="680"/>
      <c r="L57" s="680"/>
      <c r="M57" s="680"/>
      <c r="N57" s="680"/>
      <c r="O57" s="680"/>
      <c r="P57" s="680"/>
      <c r="Q57" s="608"/>
      <c r="R57" s="608"/>
      <c r="S57" s="608"/>
      <c r="T57" s="608"/>
      <c r="V57" s="675"/>
      <c r="W57" s="675"/>
      <c r="X57" s="675"/>
      <c r="Y57" s="675"/>
      <c r="Z57" s="675"/>
      <c r="AA57" s="675"/>
      <c r="AB57" s="675"/>
      <c r="AC57" s="675"/>
      <c r="AD57" s="675"/>
      <c r="AE57" s="675"/>
    </row>
    <row r="58" spans="6:33" x14ac:dyDescent="0.25">
      <c r="F58" s="680"/>
      <c r="G58" s="680"/>
      <c r="H58" s="680"/>
      <c r="I58" s="680"/>
      <c r="J58" s="680"/>
      <c r="K58" s="680"/>
      <c r="L58" s="680"/>
      <c r="M58" s="680"/>
      <c r="N58" s="680"/>
      <c r="O58" s="680"/>
      <c r="P58" s="680"/>
      <c r="Q58" s="608"/>
      <c r="R58" s="608"/>
      <c r="S58" s="608"/>
      <c r="T58" s="608"/>
      <c r="V58" s="675"/>
      <c r="W58" s="675"/>
      <c r="X58" s="675"/>
      <c r="Y58" s="675"/>
      <c r="Z58" s="675"/>
      <c r="AA58" s="675"/>
      <c r="AB58" s="675"/>
      <c r="AC58" s="675"/>
      <c r="AD58" s="675"/>
      <c r="AE58" s="675"/>
    </row>
    <row r="59" spans="6:33" x14ac:dyDescent="0.25">
      <c r="F59" s="680"/>
      <c r="G59" s="680"/>
      <c r="H59" s="680"/>
      <c r="I59" s="680"/>
      <c r="J59" s="680"/>
      <c r="K59" s="680"/>
      <c r="L59" s="680"/>
      <c r="M59" s="680"/>
      <c r="N59" s="680"/>
      <c r="O59" s="680"/>
      <c r="P59" s="680"/>
      <c r="Q59" s="608"/>
      <c r="R59" s="608"/>
      <c r="S59" s="608"/>
      <c r="T59" s="608"/>
      <c r="V59" s="675"/>
      <c r="W59" s="675"/>
      <c r="X59" s="675"/>
      <c r="Y59" s="675"/>
      <c r="Z59" s="675"/>
      <c r="AA59" s="675"/>
      <c r="AB59" s="675"/>
      <c r="AC59" s="675"/>
      <c r="AD59" s="675"/>
      <c r="AE59" s="675"/>
    </row>
    <row r="60" spans="6:33" x14ac:dyDescent="0.25">
      <c r="F60" s="608"/>
      <c r="G60" s="608"/>
      <c r="H60" s="608"/>
      <c r="I60" s="608"/>
      <c r="J60" s="608"/>
      <c r="K60" s="608"/>
      <c r="L60" s="608"/>
      <c r="M60" s="608"/>
      <c r="N60" s="608"/>
      <c r="O60" s="608"/>
      <c r="P60" s="608"/>
      <c r="Q60" s="608"/>
      <c r="R60" s="608"/>
      <c r="S60" s="608"/>
      <c r="T60" s="608"/>
      <c r="V60" s="675"/>
      <c r="W60" s="675"/>
      <c r="X60" s="675"/>
      <c r="Y60" s="675"/>
      <c r="Z60" s="675"/>
      <c r="AA60" s="675"/>
      <c r="AB60" s="675"/>
      <c r="AC60" s="675"/>
      <c r="AD60" s="675"/>
      <c r="AE60" s="675"/>
    </row>
    <row r="61" spans="6:33" x14ac:dyDescent="0.25">
      <c r="F61" s="608"/>
      <c r="G61" s="608"/>
      <c r="H61" s="608"/>
      <c r="I61" s="608"/>
      <c r="J61" s="608"/>
      <c r="K61" s="608"/>
      <c r="L61" s="608"/>
      <c r="M61" s="608"/>
      <c r="N61" s="608"/>
      <c r="O61" s="608"/>
      <c r="P61" s="608"/>
      <c r="Q61" s="608"/>
      <c r="R61" s="608"/>
      <c r="S61" s="608"/>
      <c r="T61" s="608"/>
      <c r="V61" s="675"/>
      <c r="W61" s="675"/>
      <c r="X61" s="675"/>
      <c r="Y61" s="675"/>
      <c r="Z61" s="675"/>
      <c r="AA61" s="675"/>
      <c r="AB61" s="675"/>
      <c r="AC61" s="675"/>
      <c r="AD61" s="675"/>
      <c r="AE61" s="675"/>
    </row>
    <row r="62" spans="6:33" x14ac:dyDescent="0.25">
      <c r="F62" s="608"/>
      <c r="G62" s="608"/>
      <c r="H62" s="608"/>
      <c r="I62" s="608"/>
      <c r="J62" s="608"/>
      <c r="K62" s="608"/>
      <c r="L62" s="608"/>
      <c r="M62" s="608"/>
      <c r="N62" s="608"/>
      <c r="O62" s="608"/>
      <c r="P62" s="608"/>
      <c r="Q62" s="608"/>
      <c r="R62" s="608"/>
      <c r="S62" s="608"/>
      <c r="T62" s="608"/>
      <c r="V62" s="675"/>
      <c r="W62" s="675"/>
      <c r="X62" s="675"/>
      <c r="Y62" s="675"/>
      <c r="Z62" s="675"/>
      <c r="AA62" s="675"/>
      <c r="AB62" s="675"/>
      <c r="AC62" s="675"/>
      <c r="AD62" s="675"/>
      <c r="AE62" s="675"/>
    </row>
    <row r="63" spans="6:33" ht="70.5" customHeight="1" x14ac:dyDescent="0.25">
      <c r="F63" s="608"/>
      <c r="G63" s="608"/>
      <c r="H63" s="608"/>
      <c r="I63" s="608"/>
      <c r="J63" s="608"/>
      <c r="K63" s="608"/>
      <c r="L63" s="608"/>
      <c r="M63" s="608"/>
      <c r="N63" s="608"/>
      <c r="O63" s="608"/>
      <c r="P63" s="480"/>
      <c r="Q63" s="480"/>
      <c r="R63" s="480"/>
      <c r="S63" s="480"/>
      <c r="T63" s="480"/>
      <c r="U63" s="480"/>
      <c r="V63" s="675"/>
      <c r="W63" s="675"/>
      <c r="X63" s="675"/>
      <c r="Y63" s="675"/>
      <c r="Z63" s="675"/>
      <c r="AA63" s="675"/>
      <c r="AB63" s="675"/>
      <c r="AC63" s="675"/>
      <c r="AD63" s="675"/>
      <c r="AE63" s="675"/>
    </row>
    <row r="64" spans="6:33" x14ac:dyDescent="0.25">
      <c r="F64" s="608"/>
      <c r="G64" s="608"/>
      <c r="H64" s="608"/>
      <c r="I64" s="608"/>
      <c r="J64" s="608"/>
      <c r="K64" s="608"/>
      <c r="L64" s="608"/>
      <c r="M64" s="608"/>
      <c r="N64" s="608"/>
      <c r="O64" s="608"/>
      <c r="P64" s="608"/>
      <c r="Q64" s="480"/>
      <c r="R64" s="480"/>
      <c r="S64" s="480"/>
      <c r="T64" s="480"/>
      <c r="U64" s="480"/>
      <c r="V64" s="675"/>
      <c r="W64" s="675"/>
      <c r="X64" s="675"/>
      <c r="Y64" s="675"/>
      <c r="Z64" s="675"/>
      <c r="AA64" s="675"/>
      <c r="AB64" s="675"/>
      <c r="AC64" s="675"/>
      <c r="AD64" s="675"/>
      <c r="AE64" s="675"/>
    </row>
    <row r="65" spans="6:31" x14ac:dyDescent="0.25">
      <c r="F65" s="608"/>
      <c r="G65" s="608"/>
      <c r="H65" s="608"/>
      <c r="I65" s="608"/>
      <c r="J65" s="608"/>
      <c r="K65" s="608"/>
      <c r="L65" s="608"/>
      <c r="M65" s="608"/>
      <c r="N65" s="608"/>
      <c r="O65" s="608"/>
      <c r="P65" s="608"/>
      <c r="Q65" s="480"/>
      <c r="R65" s="480"/>
      <c r="S65" s="480"/>
      <c r="T65" s="480"/>
      <c r="U65" s="480"/>
      <c r="V65" s="675"/>
      <c r="W65" s="675"/>
      <c r="X65" s="675"/>
      <c r="Y65" s="675"/>
      <c r="Z65" s="675"/>
      <c r="AA65" s="675"/>
      <c r="AB65" s="675"/>
      <c r="AC65" s="675"/>
      <c r="AD65" s="675"/>
      <c r="AE65" s="675"/>
    </row>
    <row r="66" spans="6:31" x14ac:dyDescent="0.25">
      <c r="F66" s="608"/>
      <c r="G66" s="608"/>
      <c r="H66" s="608"/>
      <c r="I66" s="608"/>
      <c r="J66" s="608"/>
      <c r="K66" s="608"/>
      <c r="L66" s="608"/>
      <c r="M66" s="608"/>
      <c r="N66" s="608"/>
      <c r="O66" s="608"/>
      <c r="P66" s="608"/>
      <c r="Q66" s="480"/>
      <c r="R66" s="480"/>
      <c r="S66" s="480"/>
      <c r="T66" s="480"/>
      <c r="U66" s="480"/>
      <c r="V66" s="675"/>
      <c r="W66" s="675"/>
      <c r="X66" s="675"/>
      <c r="Y66" s="675"/>
      <c r="Z66" s="675"/>
      <c r="AA66" s="675"/>
      <c r="AB66" s="675"/>
      <c r="AC66" s="675"/>
      <c r="AD66" s="675"/>
      <c r="AE66" s="675"/>
    </row>
    <row r="67" spans="6:31" x14ac:dyDescent="0.25">
      <c r="F67" s="608"/>
      <c r="G67" s="608"/>
      <c r="H67" s="608"/>
      <c r="I67" s="608"/>
      <c r="J67" s="608"/>
      <c r="K67" s="608"/>
      <c r="L67" s="608"/>
      <c r="M67" s="608"/>
      <c r="N67" s="608"/>
      <c r="O67" s="608"/>
      <c r="P67" s="608"/>
      <c r="Q67" s="480"/>
      <c r="R67" s="480"/>
      <c r="S67" s="480"/>
      <c r="T67" s="480"/>
      <c r="U67" s="480"/>
      <c r="V67" s="675"/>
      <c r="W67" s="675"/>
      <c r="X67" s="675"/>
      <c r="Y67" s="675"/>
      <c r="Z67" s="675"/>
      <c r="AA67" s="675"/>
      <c r="AB67" s="675"/>
      <c r="AC67" s="675"/>
      <c r="AD67" s="675"/>
      <c r="AE67" s="675"/>
    </row>
    <row r="68" spans="6:31" x14ac:dyDescent="0.25">
      <c r="F68" s="608"/>
      <c r="G68" s="608"/>
      <c r="H68" s="608"/>
      <c r="I68" s="608"/>
      <c r="J68" s="608"/>
      <c r="K68" s="608"/>
      <c r="L68" s="608"/>
      <c r="M68" s="608"/>
      <c r="N68" s="608"/>
      <c r="O68" s="680"/>
      <c r="P68" s="608"/>
      <c r="Q68" s="480"/>
      <c r="R68" s="480"/>
      <c r="S68" s="480"/>
      <c r="T68" s="480"/>
      <c r="U68" s="480"/>
      <c r="V68" s="675"/>
      <c r="W68" s="675"/>
      <c r="X68" s="675"/>
      <c r="Y68" s="675"/>
      <c r="Z68" s="675"/>
      <c r="AA68" s="675"/>
      <c r="AB68" s="675"/>
      <c r="AC68" s="675"/>
      <c r="AD68" s="675"/>
      <c r="AE68" s="675"/>
    </row>
    <row r="69" spans="6:31" x14ac:dyDescent="0.25">
      <c r="F69" s="608"/>
      <c r="G69" s="608"/>
      <c r="H69" s="608"/>
      <c r="I69" s="608"/>
      <c r="J69" s="608"/>
      <c r="K69" s="608"/>
      <c r="L69" s="608"/>
      <c r="M69" s="608"/>
      <c r="N69" s="608"/>
      <c r="O69" s="680"/>
      <c r="P69" s="608"/>
      <c r="Q69" s="480"/>
      <c r="R69" s="480"/>
      <c r="S69" s="480"/>
      <c r="T69" s="480"/>
      <c r="U69" s="480"/>
      <c r="V69" s="675"/>
      <c r="W69" s="675"/>
      <c r="X69" s="675"/>
      <c r="Y69" s="675"/>
      <c r="Z69" s="675"/>
      <c r="AA69" s="675"/>
      <c r="AB69" s="675"/>
      <c r="AC69" s="675"/>
      <c r="AD69" s="675"/>
      <c r="AE69" s="675"/>
    </row>
    <row r="70" spans="6:31" x14ac:dyDescent="0.25">
      <c r="F70" s="608"/>
      <c r="G70" s="608"/>
      <c r="H70" s="608"/>
      <c r="I70" s="608"/>
      <c r="J70" s="608"/>
      <c r="K70" s="608"/>
      <c r="L70" s="608"/>
      <c r="M70" s="608"/>
      <c r="N70" s="608"/>
      <c r="O70" s="608"/>
      <c r="P70" s="480"/>
      <c r="Q70" s="480"/>
      <c r="R70" s="480"/>
      <c r="S70" s="480"/>
      <c r="T70" s="480"/>
      <c r="U70" s="480"/>
      <c r="V70" s="675"/>
      <c r="W70" s="675"/>
      <c r="X70" s="675"/>
      <c r="Y70" s="675"/>
      <c r="Z70" s="675"/>
      <c r="AA70" s="675"/>
      <c r="AB70" s="675"/>
      <c r="AC70" s="675"/>
      <c r="AD70" s="675"/>
      <c r="AE70" s="675"/>
    </row>
    <row r="71" spans="6:31" x14ac:dyDescent="0.25">
      <c r="F71" s="608"/>
      <c r="G71" s="608"/>
      <c r="H71" s="608"/>
      <c r="I71" s="608"/>
      <c r="J71" s="608"/>
      <c r="K71" s="608"/>
      <c r="L71" s="608"/>
      <c r="M71" s="608"/>
      <c r="N71" s="608"/>
      <c r="O71" s="608"/>
      <c r="P71" s="608"/>
      <c r="Q71" s="608"/>
      <c r="R71" s="608"/>
      <c r="S71" s="608"/>
      <c r="T71" s="608"/>
      <c r="V71" s="675"/>
      <c r="W71" s="675"/>
      <c r="X71" s="675"/>
      <c r="Y71" s="675"/>
      <c r="Z71" s="675"/>
      <c r="AA71" s="675"/>
      <c r="AB71" s="675"/>
      <c r="AC71" s="675"/>
      <c r="AD71" s="675"/>
      <c r="AE71" s="675"/>
    </row>
    <row r="72" spans="6:31" x14ac:dyDescent="0.25">
      <c r="F72" s="608"/>
      <c r="G72" s="608"/>
      <c r="H72" s="608"/>
      <c r="I72" s="608"/>
      <c r="J72" s="608"/>
      <c r="K72" s="608"/>
      <c r="L72" s="608"/>
      <c r="M72" s="608"/>
      <c r="N72" s="608"/>
      <c r="O72" s="608"/>
      <c r="P72" s="608"/>
      <c r="Q72" s="608"/>
      <c r="R72" s="608"/>
      <c r="S72" s="608"/>
      <c r="T72" s="608"/>
    </row>
    <row r="73" spans="6:31" x14ac:dyDescent="0.25">
      <c r="F73" s="608"/>
      <c r="G73" s="608"/>
      <c r="H73" s="608"/>
      <c r="I73" s="608"/>
      <c r="J73" s="608"/>
      <c r="K73" s="608"/>
      <c r="L73" s="608"/>
      <c r="M73" s="608"/>
      <c r="N73" s="608"/>
      <c r="O73" s="608"/>
    </row>
    <row r="74" spans="6:31" x14ac:dyDescent="0.25">
      <c r="F74" s="608"/>
      <c r="G74" s="608"/>
      <c r="H74" s="608"/>
      <c r="I74" s="608"/>
      <c r="J74" s="608"/>
      <c r="K74" s="608"/>
      <c r="L74" s="608"/>
      <c r="M74" s="608"/>
      <c r="N74" s="608"/>
      <c r="O74" s="608"/>
    </row>
    <row r="75" spans="6:31" x14ac:dyDescent="0.25">
      <c r="F75" s="608"/>
      <c r="G75" s="608"/>
      <c r="H75" s="608"/>
      <c r="I75" s="608"/>
      <c r="J75" s="608"/>
      <c r="K75" s="608"/>
      <c r="L75" s="608"/>
      <c r="M75" s="608"/>
      <c r="N75" s="608"/>
      <c r="O75" s="608"/>
    </row>
    <row r="76" spans="6:31" x14ac:dyDescent="0.25">
      <c r="F76" s="608"/>
      <c r="G76" s="608"/>
      <c r="H76" s="608"/>
      <c r="I76" s="608"/>
      <c r="J76" s="608"/>
      <c r="K76" s="608"/>
      <c r="L76" s="608"/>
      <c r="M76" s="608"/>
      <c r="N76" s="608"/>
      <c r="O76" s="608"/>
    </row>
    <row r="77" spans="6:31" x14ac:dyDescent="0.25">
      <c r="F77" s="608"/>
      <c r="G77" s="608"/>
      <c r="H77" s="608"/>
      <c r="I77" s="608"/>
      <c r="J77" s="608"/>
      <c r="K77" s="608"/>
      <c r="L77" s="608"/>
      <c r="M77" s="608"/>
      <c r="N77" s="608"/>
      <c r="O77" s="608"/>
    </row>
    <row r="78" spans="6:31" x14ac:dyDescent="0.25">
      <c r="F78" s="608"/>
      <c r="G78" s="608"/>
      <c r="H78" s="608"/>
      <c r="I78" s="608"/>
      <c r="J78" s="608"/>
      <c r="K78" s="608"/>
      <c r="L78" s="608"/>
      <c r="M78" s="608"/>
      <c r="N78" s="608"/>
      <c r="O78" s="608"/>
    </row>
    <row r="79" spans="6:31" x14ac:dyDescent="0.25">
      <c r="F79" s="608"/>
      <c r="G79" s="608"/>
      <c r="H79" s="608"/>
      <c r="I79" s="608"/>
      <c r="J79" s="608"/>
      <c r="K79" s="608"/>
      <c r="L79" s="608"/>
      <c r="M79" s="608"/>
      <c r="N79" s="608"/>
      <c r="O79" s="608"/>
    </row>
    <row r="80" spans="6:31" x14ac:dyDescent="0.25">
      <c r="F80" s="608"/>
      <c r="G80" s="608"/>
      <c r="H80" s="608"/>
      <c r="I80" s="608"/>
      <c r="J80" s="608"/>
      <c r="K80" s="608"/>
      <c r="L80" s="608"/>
      <c r="M80" s="608"/>
      <c r="N80" s="608"/>
      <c r="O80" s="608"/>
    </row>
    <row r="81" spans="6:15" x14ac:dyDescent="0.25">
      <c r="F81" s="608"/>
      <c r="G81" s="608"/>
      <c r="H81" s="608"/>
      <c r="I81" s="608"/>
      <c r="J81" s="608"/>
      <c r="K81" s="608"/>
      <c r="L81" s="608"/>
      <c r="M81" s="608"/>
      <c r="N81" s="608"/>
      <c r="O81" s="608"/>
    </row>
  </sheetData>
  <mergeCells count="13">
    <mergeCell ref="D26:D28"/>
    <mergeCell ref="B2:U2"/>
    <mergeCell ref="F4:G4"/>
    <mergeCell ref="I4:J4"/>
    <mergeCell ref="L4:M4"/>
    <mergeCell ref="Q4:U4"/>
    <mergeCell ref="Q5:S5"/>
    <mergeCell ref="T5:U5"/>
    <mergeCell ref="D8:D10"/>
    <mergeCell ref="D11:D13"/>
    <mergeCell ref="D14:D16"/>
    <mergeCell ref="D17:D19"/>
    <mergeCell ref="D23:D25"/>
  </mergeCell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56" orientation="landscape" r:id="rId1"/>
  <headerFooter>
    <oddFooter>&amp;LDCP SPE&amp;R&amp;P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30"/>
  <sheetViews>
    <sheetView showGridLines="0" view="pageBreakPreview" zoomScale="85" zoomScaleNormal="80" zoomScaleSheetLayoutView="85" workbookViewId="0">
      <selection activeCell="F7" sqref="F7:O27"/>
    </sheetView>
  </sheetViews>
  <sheetFormatPr baseColWidth="10" defaultColWidth="11.42578125" defaultRowHeight="14.25" x14ac:dyDescent="0.25"/>
  <cols>
    <col min="1" max="1" width="4" style="48" customWidth="1"/>
    <col min="2" max="2" width="25.7109375" style="1" bestFit="1" customWidth="1"/>
    <col min="3" max="3" width="0.85546875" style="48" customWidth="1"/>
    <col min="4" max="4" width="8.7109375" style="49" customWidth="1"/>
    <col min="5" max="5" width="0.85546875" style="49" customWidth="1"/>
    <col min="6" max="6" width="15.7109375" style="49" customWidth="1"/>
    <col min="7" max="7" width="15.7109375" style="48" customWidth="1"/>
    <col min="8" max="8" width="0.85546875" style="48" customWidth="1"/>
    <col min="9" max="10" width="15.7109375" style="48" customWidth="1"/>
    <col min="11" max="11" width="0.85546875" style="48" customWidth="1"/>
    <col min="12" max="13" width="15.7109375" style="48" customWidth="1"/>
    <col min="14" max="14" width="0.85546875" style="48" customWidth="1"/>
    <col min="15" max="15" width="15.7109375" style="48" customWidth="1"/>
    <col min="16" max="16" width="0.85546875" style="48" customWidth="1"/>
    <col min="17" max="21" width="7.7109375" style="48" customWidth="1"/>
    <col min="22" max="23" width="11.42578125" style="48"/>
    <col min="24" max="24" width="4" style="48" customWidth="1"/>
    <col min="25" max="25" width="22.7109375" style="48" customWidth="1"/>
    <col min="26" max="26" width="0.85546875" style="48" customWidth="1"/>
    <col min="27" max="27" width="8.7109375" style="48" customWidth="1"/>
    <col min="28" max="28" width="0.85546875" style="48" customWidth="1"/>
    <col min="29" max="29" width="16.140625" style="48" customWidth="1"/>
    <col min="30" max="30" width="20.7109375" style="48" customWidth="1"/>
    <col min="31" max="31" width="0.85546875" style="48" customWidth="1"/>
    <col min="32" max="32" width="14.42578125" style="48" customWidth="1"/>
    <col min="33" max="33" width="14.7109375" style="48" customWidth="1"/>
    <col min="34" max="34" width="0.85546875" style="48" customWidth="1"/>
    <col min="35" max="36" width="14.7109375" style="48" customWidth="1"/>
    <col min="37" max="37" width="0.85546875" style="48" customWidth="1"/>
    <col min="38" max="38" width="14.7109375" style="48" customWidth="1"/>
    <col min="39" max="39" width="0.85546875" style="48" customWidth="1"/>
    <col min="40" max="44" width="6.7109375" style="48" customWidth="1"/>
    <col min="45" max="45" width="11.42578125" style="48"/>
    <col min="46" max="46" width="12.5703125" style="48" bestFit="1" customWidth="1"/>
    <col min="47" max="279" width="11.42578125" style="48"/>
    <col min="280" max="280" width="4" style="48" customWidth="1"/>
    <col min="281" max="281" width="22.7109375" style="48" customWidth="1"/>
    <col min="282" max="282" width="0.85546875" style="48" customWidth="1"/>
    <col min="283" max="283" width="8.7109375" style="48" customWidth="1"/>
    <col min="284" max="284" width="0.85546875" style="48" customWidth="1"/>
    <col min="285" max="285" width="16.140625" style="48" customWidth="1"/>
    <col min="286" max="286" width="20.7109375" style="48" customWidth="1"/>
    <col min="287" max="287" width="0.85546875" style="48" customWidth="1"/>
    <col min="288" max="288" width="14.42578125" style="48" customWidth="1"/>
    <col min="289" max="289" width="14.7109375" style="48" customWidth="1"/>
    <col min="290" max="290" width="0.85546875" style="48" customWidth="1"/>
    <col min="291" max="292" width="14.7109375" style="48" customWidth="1"/>
    <col min="293" max="293" width="0.85546875" style="48" customWidth="1"/>
    <col min="294" max="294" width="14.7109375" style="48" customWidth="1"/>
    <col min="295" max="295" width="0.85546875" style="48" customWidth="1"/>
    <col min="296" max="300" width="6.7109375" style="48" customWidth="1"/>
    <col min="301" max="301" width="11.42578125" style="48"/>
    <col min="302" max="302" width="12.5703125" style="48" bestFit="1" customWidth="1"/>
    <col min="303" max="535" width="11.42578125" style="48"/>
    <col min="536" max="536" width="4" style="48" customWidth="1"/>
    <col min="537" max="537" width="22.7109375" style="48" customWidth="1"/>
    <col min="538" max="538" width="0.85546875" style="48" customWidth="1"/>
    <col min="539" max="539" width="8.7109375" style="48" customWidth="1"/>
    <col min="540" max="540" width="0.85546875" style="48" customWidth="1"/>
    <col min="541" max="541" width="16.140625" style="48" customWidth="1"/>
    <col min="542" max="542" width="20.7109375" style="48" customWidth="1"/>
    <col min="543" max="543" width="0.85546875" style="48" customWidth="1"/>
    <col min="544" max="544" width="14.42578125" style="48" customWidth="1"/>
    <col min="545" max="545" width="14.7109375" style="48" customWidth="1"/>
    <col min="546" max="546" width="0.85546875" style="48" customWidth="1"/>
    <col min="547" max="548" width="14.7109375" style="48" customWidth="1"/>
    <col min="549" max="549" width="0.85546875" style="48" customWidth="1"/>
    <col min="550" max="550" width="14.7109375" style="48" customWidth="1"/>
    <col min="551" max="551" width="0.85546875" style="48" customWidth="1"/>
    <col min="552" max="556" width="6.7109375" style="48" customWidth="1"/>
    <col min="557" max="557" width="11.42578125" style="48"/>
    <col min="558" max="558" width="12.5703125" style="48" bestFit="1" customWidth="1"/>
    <col min="559" max="791" width="11.42578125" style="48"/>
    <col min="792" max="792" width="4" style="48" customWidth="1"/>
    <col min="793" max="793" width="22.7109375" style="48" customWidth="1"/>
    <col min="794" max="794" width="0.85546875" style="48" customWidth="1"/>
    <col min="795" max="795" width="8.7109375" style="48" customWidth="1"/>
    <col min="796" max="796" width="0.85546875" style="48" customWidth="1"/>
    <col min="797" max="797" width="16.140625" style="48" customWidth="1"/>
    <col min="798" max="798" width="20.7109375" style="48" customWidth="1"/>
    <col min="799" max="799" width="0.85546875" style="48" customWidth="1"/>
    <col min="800" max="800" width="14.42578125" style="48" customWidth="1"/>
    <col min="801" max="801" width="14.7109375" style="48" customWidth="1"/>
    <col min="802" max="802" width="0.85546875" style="48" customWidth="1"/>
    <col min="803" max="804" width="14.7109375" style="48" customWidth="1"/>
    <col min="805" max="805" width="0.85546875" style="48" customWidth="1"/>
    <col min="806" max="806" width="14.7109375" style="48" customWidth="1"/>
    <col min="807" max="807" width="0.85546875" style="48" customWidth="1"/>
    <col min="808" max="812" width="6.7109375" style="48" customWidth="1"/>
    <col min="813" max="813" width="11.42578125" style="48"/>
    <col min="814" max="814" width="12.5703125" style="48" bestFit="1" customWidth="1"/>
    <col min="815" max="1047" width="11.42578125" style="48"/>
    <col min="1048" max="1048" width="4" style="48" customWidth="1"/>
    <col min="1049" max="1049" width="22.7109375" style="48" customWidth="1"/>
    <col min="1050" max="1050" width="0.85546875" style="48" customWidth="1"/>
    <col min="1051" max="1051" width="8.7109375" style="48" customWidth="1"/>
    <col min="1052" max="1052" width="0.85546875" style="48" customWidth="1"/>
    <col min="1053" max="1053" width="16.140625" style="48" customWidth="1"/>
    <col min="1054" max="1054" width="20.7109375" style="48" customWidth="1"/>
    <col min="1055" max="1055" width="0.85546875" style="48" customWidth="1"/>
    <col min="1056" max="1056" width="14.42578125" style="48" customWidth="1"/>
    <col min="1057" max="1057" width="14.7109375" style="48" customWidth="1"/>
    <col min="1058" max="1058" width="0.85546875" style="48" customWidth="1"/>
    <col min="1059" max="1060" width="14.7109375" style="48" customWidth="1"/>
    <col min="1061" max="1061" width="0.85546875" style="48" customWidth="1"/>
    <col min="1062" max="1062" width="14.7109375" style="48" customWidth="1"/>
    <col min="1063" max="1063" width="0.85546875" style="48" customWidth="1"/>
    <col min="1064" max="1068" width="6.7109375" style="48" customWidth="1"/>
    <col min="1069" max="1069" width="11.42578125" style="48"/>
    <col min="1070" max="1070" width="12.5703125" style="48" bestFit="1" customWidth="1"/>
    <col min="1071" max="1303" width="11.42578125" style="48"/>
    <col min="1304" max="1304" width="4" style="48" customWidth="1"/>
    <col min="1305" max="1305" width="22.7109375" style="48" customWidth="1"/>
    <col min="1306" max="1306" width="0.85546875" style="48" customWidth="1"/>
    <col min="1307" max="1307" width="8.7109375" style="48" customWidth="1"/>
    <col min="1308" max="1308" width="0.85546875" style="48" customWidth="1"/>
    <col min="1309" max="1309" width="16.140625" style="48" customWidth="1"/>
    <col min="1310" max="1310" width="20.7109375" style="48" customWidth="1"/>
    <col min="1311" max="1311" width="0.85546875" style="48" customWidth="1"/>
    <col min="1312" max="1312" width="14.42578125" style="48" customWidth="1"/>
    <col min="1313" max="1313" width="14.7109375" style="48" customWidth="1"/>
    <col min="1314" max="1314" width="0.85546875" style="48" customWidth="1"/>
    <col min="1315" max="1316" width="14.7109375" style="48" customWidth="1"/>
    <col min="1317" max="1317" width="0.85546875" style="48" customWidth="1"/>
    <col min="1318" max="1318" width="14.7109375" style="48" customWidth="1"/>
    <col min="1319" max="1319" width="0.85546875" style="48" customWidth="1"/>
    <col min="1320" max="1324" width="6.7109375" style="48" customWidth="1"/>
    <col min="1325" max="1325" width="11.42578125" style="48"/>
    <col min="1326" max="1326" width="12.5703125" style="48" bestFit="1" customWidth="1"/>
    <col min="1327" max="1559" width="11.42578125" style="48"/>
    <col min="1560" max="1560" width="4" style="48" customWidth="1"/>
    <col min="1561" max="1561" width="22.7109375" style="48" customWidth="1"/>
    <col min="1562" max="1562" width="0.85546875" style="48" customWidth="1"/>
    <col min="1563" max="1563" width="8.7109375" style="48" customWidth="1"/>
    <col min="1564" max="1564" width="0.85546875" style="48" customWidth="1"/>
    <col min="1565" max="1565" width="16.140625" style="48" customWidth="1"/>
    <col min="1566" max="1566" width="20.7109375" style="48" customWidth="1"/>
    <col min="1567" max="1567" width="0.85546875" style="48" customWidth="1"/>
    <col min="1568" max="1568" width="14.42578125" style="48" customWidth="1"/>
    <col min="1569" max="1569" width="14.7109375" style="48" customWidth="1"/>
    <col min="1570" max="1570" width="0.85546875" style="48" customWidth="1"/>
    <col min="1571" max="1572" width="14.7109375" style="48" customWidth="1"/>
    <col min="1573" max="1573" width="0.85546875" style="48" customWidth="1"/>
    <col min="1574" max="1574" width="14.7109375" style="48" customWidth="1"/>
    <col min="1575" max="1575" width="0.85546875" style="48" customWidth="1"/>
    <col min="1576" max="1580" width="6.7109375" style="48" customWidth="1"/>
    <col min="1581" max="1581" width="11.42578125" style="48"/>
    <col min="1582" max="1582" width="12.5703125" style="48" bestFit="1" customWidth="1"/>
    <col min="1583" max="1815" width="11.42578125" style="48"/>
    <col min="1816" max="1816" width="4" style="48" customWidth="1"/>
    <col min="1817" max="1817" width="22.7109375" style="48" customWidth="1"/>
    <col min="1818" max="1818" width="0.85546875" style="48" customWidth="1"/>
    <col min="1819" max="1819" width="8.7109375" style="48" customWidth="1"/>
    <col min="1820" max="1820" width="0.85546875" style="48" customWidth="1"/>
    <col min="1821" max="1821" width="16.140625" style="48" customWidth="1"/>
    <col min="1822" max="1822" width="20.7109375" style="48" customWidth="1"/>
    <col min="1823" max="1823" width="0.85546875" style="48" customWidth="1"/>
    <col min="1824" max="1824" width="14.42578125" style="48" customWidth="1"/>
    <col min="1825" max="1825" width="14.7109375" style="48" customWidth="1"/>
    <col min="1826" max="1826" width="0.85546875" style="48" customWidth="1"/>
    <col min="1827" max="1828" width="14.7109375" style="48" customWidth="1"/>
    <col min="1829" max="1829" width="0.85546875" style="48" customWidth="1"/>
    <col min="1830" max="1830" width="14.7109375" style="48" customWidth="1"/>
    <col min="1831" max="1831" width="0.85546875" style="48" customWidth="1"/>
    <col min="1832" max="1836" width="6.7109375" style="48" customWidth="1"/>
    <col min="1837" max="1837" width="11.42578125" style="48"/>
    <col min="1838" max="1838" width="12.5703125" style="48" bestFit="1" customWidth="1"/>
    <col min="1839" max="2071" width="11.42578125" style="48"/>
    <col min="2072" max="2072" width="4" style="48" customWidth="1"/>
    <col min="2073" max="2073" width="22.7109375" style="48" customWidth="1"/>
    <col min="2074" max="2074" width="0.85546875" style="48" customWidth="1"/>
    <col min="2075" max="2075" width="8.7109375" style="48" customWidth="1"/>
    <col min="2076" max="2076" width="0.85546875" style="48" customWidth="1"/>
    <col min="2077" max="2077" width="16.140625" style="48" customWidth="1"/>
    <col min="2078" max="2078" width="20.7109375" style="48" customWidth="1"/>
    <col min="2079" max="2079" width="0.85546875" style="48" customWidth="1"/>
    <col min="2080" max="2080" width="14.42578125" style="48" customWidth="1"/>
    <col min="2081" max="2081" width="14.7109375" style="48" customWidth="1"/>
    <col min="2082" max="2082" width="0.85546875" style="48" customWidth="1"/>
    <col min="2083" max="2084" width="14.7109375" style="48" customWidth="1"/>
    <col min="2085" max="2085" width="0.85546875" style="48" customWidth="1"/>
    <col min="2086" max="2086" width="14.7109375" style="48" customWidth="1"/>
    <col min="2087" max="2087" width="0.85546875" style="48" customWidth="1"/>
    <col min="2088" max="2092" width="6.7109375" style="48" customWidth="1"/>
    <col min="2093" max="2093" width="11.42578125" style="48"/>
    <col min="2094" max="2094" width="12.5703125" style="48" bestFit="1" customWidth="1"/>
    <col min="2095" max="2327" width="11.42578125" style="48"/>
    <col min="2328" max="2328" width="4" style="48" customWidth="1"/>
    <col min="2329" max="2329" width="22.7109375" style="48" customWidth="1"/>
    <col min="2330" max="2330" width="0.85546875" style="48" customWidth="1"/>
    <col min="2331" max="2331" width="8.7109375" style="48" customWidth="1"/>
    <col min="2332" max="2332" width="0.85546875" style="48" customWidth="1"/>
    <col min="2333" max="2333" width="16.140625" style="48" customWidth="1"/>
    <col min="2334" max="2334" width="20.7109375" style="48" customWidth="1"/>
    <col min="2335" max="2335" width="0.85546875" style="48" customWidth="1"/>
    <col min="2336" max="2336" width="14.42578125" style="48" customWidth="1"/>
    <col min="2337" max="2337" width="14.7109375" style="48" customWidth="1"/>
    <col min="2338" max="2338" width="0.85546875" style="48" customWidth="1"/>
    <col min="2339" max="2340" width="14.7109375" style="48" customWidth="1"/>
    <col min="2341" max="2341" width="0.85546875" style="48" customWidth="1"/>
    <col min="2342" max="2342" width="14.7109375" style="48" customWidth="1"/>
    <col min="2343" max="2343" width="0.85546875" style="48" customWidth="1"/>
    <col min="2344" max="2348" width="6.7109375" style="48" customWidth="1"/>
    <col min="2349" max="2349" width="11.42578125" style="48"/>
    <col min="2350" max="2350" width="12.5703125" style="48" bestFit="1" customWidth="1"/>
    <col min="2351" max="2583" width="11.42578125" style="48"/>
    <col min="2584" max="2584" width="4" style="48" customWidth="1"/>
    <col min="2585" max="2585" width="22.7109375" style="48" customWidth="1"/>
    <col min="2586" max="2586" width="0.85546875" style="48" customWidth="1"/>
    <col min="2587" max="2587" width="8.7109375" style="48" customWidth="1"/>
    <col min="2588" max="2588" width="0.85546875" style="48" customWidth="1"/>
    <col min="2589" max="2589" width="16.140625" style="48" customWidth="1"/>
    <col min="2590" max="2590" width="20.7109375" style="48" customWidth="1"/>
    <col min="2591" max="2591" width="0.85546875" style="48" customWidth="1"/>
    <col min="2592" max="2592" width="14.42578125" style="48" customWidth="1"/>
    <col min="2593" max="2593" width="14.7109375" style="48" customWidth="1"/>
    <col min="2594" max="2594" width="0.85546875" style="48" customWidth="1"/>
    <col min="2595" max="2596" width="14.7109375" style="48" customWidth="1"/>
    <col min="2597" max="2597" width="0.85546875" style="48" customWidth="1"/>
    <col min="2598" max="2598" width="14.7109375" style="48" customWidth="1"/>
    <col min="2599" max="2599" width="0.85546875" style="48" customWidth="1"/>
    <col min="2600" max="2604" width="6.7109375" style="48" customWidth="1"/>
    <col min="2605" max="2605" width="11.42578125" style="48"/>
    <col min="2606" max="2606" width="12.5703125" style="48" bestFit="1" customWidth="1"/>
    <col min="2607" max="2839" width="11.42578125" style="48"/>
    <col min="2840" max="2840" width="4" style="48" customWidth="1"/>
    <col min="2841" max="2841" width="22.7109375" style="48" customWidth="1"/>
    <col min="2842" max="2842" width="0.85546875" style="48" customWidth="1"/>
    <col min="2843" max="2843" width="8.7109375" style="48" customWidth="1"/>
    <col min="2844" max="2844" width="0.85546875" style="48" customWidth="1"/>
    <col min="2845" max="2845" width="16.140625" style="48" customWidth="1"/>
    <col min="2846" max="2846" width="20.7109375" style="48" customWidth="1"/>
    <col min="2847" max="2847" width="0.85546875" style="48" customWidth="1"/>
    <col min="2848" max="2848" width="14.42578125" style="48" customWidth="1"/>
    <col min="2849" max="2849" width="14.7109375" style="48" customWidth="1"/>
    <col min="2850" max="2850" width="0.85546875" style="48" customWidth="1"/>
    <col min="2851" max="2852" width="14.7109375" style="48" customWidth="1"/>
    <col min="2853" max="2853" width="0.85546875" style="48" customWidth="1"/>
    <col min="2854" max="2854" width="14.7109375" style="48" customWidth="1"/>
    <col min="2855" max="2855" width="0.85546875" style="48" customWidth="1"/>
    <col min="2856" max="2860" width="6.7109375" style="48" customWidth="1"/>
    <col min="2861" max="2861" width="11.42578125" style="48"/>
    <col min="2862" max="2862" width="12.5703125" style="48" bestFit="1" customWidth="1"/>
    <col min="2863" max="3095" width="11.42578125" style="48"/>
    <col min="3096" max="3096" width="4" style="48" customWidth="1"/>
    <col min="3097" max="3097" width="22.7109375" style="48" customWidth="1"/>
    <col min="3098" max="3098" width="0.85546875" style="48" customWidth="1"/>
    <col min="3099" max="3099" width="8.7109375" style="48" customWidth="1"/>
    <col min="3100" max="3100" width="0.85546875" style="48" customWidth="1"/>
    <col min="3101" max="3101" width="16.140625" style="48" customWidth="1"/>
    <col min="3102" max="3102" width="20.7109375" style="48" customWidth="1"/>
    <col min="3103" max="3103" width="0.85546875" style="48" customWidth="1"/>
    <col min="3104" max="3104" width="14.42578125" style="48" customWidth="1"/>
    <col min="3105" max="3105" width="14.7109375" style="48" customWidth="1"/>
    <col min="3106" max="3106" width="0.85546875" style="48" customWidth="1"/>
    <col min="3107" max="3108" width="14.7109375" style="48" customWidth="1"/>
    <col min="3109" max="3109" width="0.85546875" style="48" customWidth="1"/>
    <col min="3110" max="3110" width="14.7109375" style="48" customWidth="1"/>
    <col min="3111" max="3111" width="0.85546875" style="48" customWidth="1"/>
    <col min="3112" max="3116" width="6.7109375" style="48" customWidth="1"/>
    <col min="3117" max="3117" width="11.42578125" style="48"/>
    <col min="3118" max="3118" width="12.5703125" style="48" bestFit="1" customWidth="1"/>
    <col min="3119" max="3351" width="11.42578125" style="48"/>
    <col min="3352" max="3352" width="4" style="48" customWidth="1"/>
    <col min="3353" max="3353" width="22.7109375" style="48" customWidth="1"/>
    <col min="3354" max="3354" width="0.85546875" style="48" customWidth="1"/>
    <col min="3355" max="3355" width="8.7109375" style="48" customWidth="1"/>
    <col min="3356" max="3356" width="0.85546875" style="48" customWidth="1"/>
    <col min="3357" max="3357" width="16.140625" style="48" customWidth="1"/>
    <col min="3358" max="3358" width="20.7109375" style="48" customWidth="1"/>
    <col min="3359" max="3359" width="0.85546875" style="48" customWidth="1"/>
    <col min="3360" max="3360" width="14.42578125" style="48" customWidth="1"/>
    <col min="3361" max="3361" width="14.7109375" style="48" customWidth="1"/>
    <col min="3362" max="3362" width="0.85546875" style="48" customWidth="1"/>
    <col min="3363" max="3364" width="14.7109375" style="48" customWidth="1"/>
    <col min="3365" max="3365" width="0.85546875" style="48" customWidth="1"/>
    <col min="3366" max="3366" width="14.7109375" style="48" customWidth="1"/>
    <col min="3367" max="3367" width="0.85546875" style="48" customWidth="1"/>
    <col min="3368" max="3372" width="6.7109375" style="48" customWidth="1"/>
    <col min="3373" max="3373" width="11.42578125" style="48"/>
    <col min="3374" max="3374" width="12.5703125" style="48" bestFit="1" customWidth="1"/>
    <col min="3375" max="3607" width="11.42578125" style="48"/>
    <col min="3608" max="3608" width="4" style="48" customWidth="1"/>
    <col min="3609" max="3609" width="22.7109375" style="48" customWidth="1"/>
    <col min="3610" max="3610" width="0.85546875" style="48" customWidth="1"/>
    <col min="3611" max="3611" width="8.7109375" style="48" customWidth="1"/>
    <col min="3612" max="3612" width="0.85546875" style="48" customWidth="1"/>
    <col min="3613" max="3613" width="16.140625" style="48" customWidth="1"/>
    <col min="3614" max="3614" width="20.7109375" style="48" customWidth="1"/>
    <col min="3615" max="3615" width="0.85546875" style="48" customWidth="1"/>
    <col min="3616" max="3616" width="14.42578125" style="48" customWidth="1"/>
    <col min="3617" max="3617" width="14.7109375" style="48" customWidth="1"/>
    <col min="3618" max="3618" width="0.85546875" style="48" customWidth="1"/>
    <col min="3619" max="3620" width="14.7109375" style="48" customWidth="1"/>
    <col min="3621" max="3621" width="0.85546875" style="48" customWidth="1"/>
    <col min="3622" max="3622" width="14.7109375" style="48" customWidth="1"/>
    <col min="3623" max="3623" width="0.85546875" style="48" customWidth="1"/>
    <col min="3624" max="3628" width="6.7109375" style="48" customWidth="1"/>
    <col min="3629" max="3629" width="11.42578125" style="48"/>
    <col min="3630" max="3630" width="12.5703125" style="48" bestFit="1" customWidth="1"/>
    <col min="3631" max="3863" width="11.42578125" style="48"/>
    <col min="3864" max="3864" width="4" style="48" customWidth="1"/>
    <col min="3865" max="3865" width="22.7109375" style="48" customWidth="1"/>
    <col min="3866" max="3866" width="0.85546875" style="48" customWidth="1"/>
    <col min="3867" max="3867" width="8.7109375" style="48" customWidth="1"/>
    <col min="3868" max="3868" width="0.85546875" style="48" customWidth="1"/>
    <col min="3869" max="3869" width="16.140625" style="48" customWidth="1"/>
    <col min="3870" max="3870" width="20.7109375" style="48" customWidth="1"/>
    <col min="3871" max="3871" width="0.85546875" style="48" customWidth="1"/>
    <col min="3872" max="3872" width="14.42578125" style="48" customWidth="1"/>
    <col min="3873" max="3873" width="14.7109375" style="48" customWidth="1"/>
    <col min="3874" max="3874" width="0.85546875" style="48" customWidth="1"/>
    <col min="3875" max="3876" width="14.7109375" style="48" customWidth="1"/>
    <col min="3877" max="3877" width="0.85546875" style="48" customWidth="1"/>
    <col min="3878" max="3878" width="14.7109375" style="48" customWidth="1"/>
    <col min="3879" max="3879" width="0.85546875" style="48" customWidth="1"/>
    <col min="3880" max="3884" width="6.7109375" style="48" customWidth="1"/>
    <col min="3885" max="3885" width="11.42578125" style="48"/>
    <col min="3886" max="3886" width="12.5703125" style="48" bestFit="1" customWidth="1"/>
    <col min="3887" max="4119" width="11.42578125" style="48"/>
    <col min="4120" max="4120" width="4" style="48" customWidth="1"/>
    <col min="4121" max="4121" width="22.7109375" style="48" customWidth="1"/>
    <col min="4122" max="4122" width="0.85546875" style="48" customWidth="1"/>
    <col min="4123" max="4123" width="8.7109375" style="48" customWidth="1"/>
    <col min="4124" max="4124" width="0.85546875" style="48" customWidth="1"/>
    <col min="4125" max="4125" width="16.140625" style="48" customWidth="1"/>
    <col min="4126" max="4126" width="20.7109375" style="48" customWidth="1"/>
    <col min="4127" max="4127" width="0.85546875" style="48" customWidth="1"/>
    <col min="4128" max="4128" width="14.42578125" style="48" customWidth="1"/>
    <col min="4129" max="4129" width="14.7109375" style="48" customWidth="1"/>
    <col min="4130" max="4130" width="0.85546875" style="48" customWidth="1"/>
    <col min="4131" max="4132" width="14.7109375" style="48" customWidth="1"/>
    <col min="4133" max="4133" width="0.85546875" style="48" customWidth="1"/>
    <col min="4134" max="4134" width="14.7109375" style="48" customWidth="1"/>
    <col min="4135" max="4135" width="0.85546875" style="48" customWidth="1"/>
    <col min="4136" max="4140" width="6.7109375" style="48" customWidth="1"/>
    <col min="4141" max="4141" width="11.42578125" style="48"/>
    <col min="4142" max="4142" width="12.5703125" style="48" bestFit="1" customWidth="1"/>
    <col min="4143" max="4375" width="11.42578125" style="48"/>
    <col min="4376" max="4376" width="4" style="48" customWidth="1"/>
    <col min="4377" max="4377" width="22.7109375" style="48" customWidth="1"/>
    <col min="4378" max="4378" width="0.85546875" style="48" customWidth="1"/>
    <col min="4379" max="4379" width="8.7109375" style="48" customWidth="1"/>
    <col min="4380" max="4380" width="0.85546875" style="48" customWidth="1"/>
    <col min="4381" max="4381" width="16.140625" style="48" customWidth="1"/>
    <col min="4382" max="4382" width="20.7109375" style="48" customWidth="1"/>
    <col min="4383" max="4383" width="0.85546875" style="48" customWidth="1"/>
    <col min="4384" max="4384" width="14.42578125" style="48" customWidth="1"/>
    <col min="4385" max="4385" width="14.7109375" style="48" customWidth="1"/>
    <col min="4386" max="4386" width="0.85546875" style="48" customWidth="1"/>
    <col min="4387" max="4388" width="14.7109375" style="48" customWidth="1"/>
    <col min="4389" max="4389" width="0.85546875" style="48" customWidth="1"/>
    <col min="4390" max="4390" width="14.7109375" style="48" customWidth="1"/>
    <col min="4391" max="4391" width="0.85546875" style="48" customWidth="1"/>
    <col min="4392" max="4396" width="6.7109375" style="48" customWidth="1"/>
    <col min="4397" max="4397" width="11.42578125" style="48"/>
    <col min="4398" max="4398" width="12.5703125" style="48" bestFit="1" customWidth="1"/>
    <col min="4399" max="4631" width="11.42578125" style="48"/>
    <col min="4632" max="4632" width="4" style="48" customWidth="1"/>
    <col min="4633" max="4633" width="22.7109375" style="48" customWidth="1"/>
    <col min="4634" max="4634" width="0.85546875" style="48" customWidth="1"/>
    <col min="4635" max="4635" width="8.7109375" style="48" customWidth="1"/>
    <col min="4636" max="4636" width="0.85546875" style="48" customWidth="1"/>
    <col min="4637" max="4637" width="16.140625" style="48" customWidth="1"/>
    <col min="4638" max="4638" width="20.7109375" style="48" customWidth="1"/>
    <col min="4639" max="4639" width="0.85546875" style="48" customWidth="1"/>
    <col min="4640" max="4640" width="14.42578125" style="48" customWidth="1"/>
    <col min="4641" max="4641" width="14.7109375" style="48" customWidth="1"/>
    <col min="4642" max="4642" width="0.85546875" style="48" customWidth="1"/>
    <col min="4643" max="4644" width="14.7109375" style="48" customWidth="1"/>
    <col min="4645" max="4645" width="0.85546875" style="48" customWidth="1"/>
    <col min="4646" max="4646" width="14.7109375" style="48" customWidth="1"/>
    <col min="4647" max="4647" width="0.85546875" style="48" customWidth="1"/>
    <col min="4648" max="4652" width="6.7109375" style="48" customWidth="1"/>
    <col min="4653" max="4653" width="11.42578125" style="48"/>
    <col min="4654" max="4654" width="12.5703125" style="48" bestFit="1" customWidth="1"/>
    <col min="4655" max="4887" width="11.42578125" style="48"/>
    <col min="4888" max="4888" width="4" style="48" customWidth="1"/>
    <col min="4889" max="4889" width="22.7109375" style="48" customWidth="1"/>
    <col min="4890" max="4890" width="0.85546875" style="48" customWidth="1"/>
    <col min="4891" max="4891" width="8.7109375" style="48" customWidth="1"/>
    <col min="4892" max="4892" width="0.85546875" style="48" customWidth="1"/>
    <col min="4893" max="4893" width="16.140625" style="48" customWidth="1"/>
    <col min="4894" max="4894" width="20.7109375" style="48" customWidth="1"/>
    <col min="4895" max="4895" width="0.85546875" style="48" customWidth="1"/>
    <col min="4896" max="4896" width="14.42578125" style="48" customWidth="1"/>
    <col min="4897" max="4897" width="14.7109375" style="48" customWidth="1"/>
    <col min="4898" max="4898" width="0.85546875" style="48" customWidth="1"/>
    <col min="4899" max="4900" width="14.7109375" style="48" customWidth="1"/>
    <col min="4901" max="4901" width="0.85546875" style="48" customWidth="1"/>
    <col min="4902" max="4902" width="14.7109375" style="48" customWidth="1"/>
    <col min="4903" max="4903" width="0.85546875" style="48" customWidth="1"/>
    <col min="4904" max="4908" width="6.7109375" style="48" customWidth="1"/>
    <col min="4909" max="4909" width="11.42578125" style="48"/>
    <col min="4910" max="4910" width="12.5703125" style="48" bestFit="1" customWidth="1"/>
    <col min="4911" max="5143" width="11.42578125" style="48"/>
    <col min="5144" max="5144" width="4" style="48" customWidth="1"/>
    <col min="5145" max="5145" width="22.7109375" style="48" customWidth="1"/>
    <col min="5146" max="5146" width="0.85546875" style="48" customWidth="1"/>
    <col min="5147" max="5147" width="8.7109375" style="48" customWidth="1"/>
    <col min="5148" max="5148" width="0.85546875" style="48" customWidth="1"/>
    <col min="5149" max="5149" width="16.140625" style="48" customWidth="1"/>
    <col min="5150" max="5150" width="20.7109375" style="48" customWidth="1"/>
    <col min="5151" max="5151" width="0.85546875" style="48" customWidth="1"/>
    <col min="5152" max="5152" width="14.42578125" style="48" customWidth="1"/>
    <col min="5153" max="5153" width="14.7109375" style="48" customWidth="1"/>
    <col min="5154" max="5154" width="0.85546875" style="48" customWidth="1"/>
    <col min="5155" max="5156" width="14.7109375" style="48" customWidth="1"/>
    <col min="5157" max="5157" width="0.85546875" style="48" customWidth="1"/>
    <col min="5158" max="5158" width="14.7109375" style="48" customWidth="1"/>
    <col min="5159" max="5159" width="0.85546875" style="48" customWidth="1"/>
    <col min="5160" max="5164" width="6.7109375" style="48" customWidth="1"/>
    <col min="5165" max="5165" width="11.42578125" style="48"/>
    <col min="5166" max="5166" width="12.5703125" style="48" bestFit="1" customWidth="1"/>
    <col min="5167" max="5399" width="11.42578125" style="48"/>
    <col min="5400" max="5400" width="4" style="48" customWidth="1"/>
    <col min="5401" max="5401" width="22.7109375" style="48" customWidth="1"/>
    <col min="5402" max="5402" width="0.85546875" style="48" customWidth="1"/>
    <col min="5403" max="5403" width="8.7109375" style="48" customWidth="1"/>
    <col min="5404" max="5404" width="0.85546875" style="48" customWidth="1"/>
    <col min="5405" max="5405" width="16.140625" style="48" customWidth="1"/>
    <col min="5406" max="5406" width="20.7109375" style="48" customWidth="1"/>
    <col min="5407" max="5407" width="0.85546875" style="48" customWidth="1"/>
    <col min="5408" max="5408" width="14.42578125" style="48" customWidth="1"/>
    <col min="5409" max="5409" width="14.7109375" style="48" customWidth="1"/>
    <col min="5410" max="5410" width="0.85546875" style="48" customWidth="1"/>
    <col min="5411" max="5412" width="14.7109375" style="48" customWidth="1"/>
    <col min="5413" max="5413" width="0.85546875" style="48" customWidth="1"/>
    <col min="5414" max="5414" width="14.7109375" style="48" customWidth="1"/>
    <col min="5415" max="5415" width="0.85546875" style="48" customWidth="1"/>
    <col min="5416" max="5420" width="6.7109375" style="48" customWidth="1"/>
    <col min="5421" max="5421" width="11.42578125" style="48"/>
    <col min="5422" max="5422" width="12.5703125" style="48" bestFit="1" customWidth="1"/>
    <col min="5423" max="5655" width="11.42578125" style="48"/>
    <col min="5656" max="5656" width="4" style="48" customWidth="1"/>
    <col min="5657" max="5657" width="22.7109375" style="48" customWidth="1"/>
    <col min="5658" max="5658" width="0.85546875" style="48" customWidth="1"/>
    <col min="5659" max="5659" width="8.7109375" style="48" customWidth="1"/>
    <col min="5660" max="5660" width="0.85546875" style="48" customWidth="1"/>
    <col min="5661" max="5661" width="16.140625" style="48" customWidth="1"/>
    <col min="5662" max="5662" width="20.7109375" style="48" customWidth="1"/>
    <col min="5663" max="5663" width="0.85546875" style="48" customWidth="1"/>
    <col min="5664" max="5664" width="14.42578125" style="48" customWidth="1"/>
    <col min="5665" max="5665" width="14.7109375" style="48" customWidth="1"/>
    <col min="5666" max="5666" width="0.85546875" style="48" customWidth="1"/>
    <col min="5667" max="5668" width="14.7109375" style="48" customWidth="1"/>
    <col min="5669" max="5669" width="0.85546875" style="48" customWidth="1"/>
    <col min="5670" max="5670" width="14.7109375" style="48" customWidth="1"/>
    <col min="5671" max="5671" width="0.85546875" style="48" customWidth="1"/>
    <col min="5672" max="5676" width="6.7109375" style="48" customWidth="1"/>
    <col min="5677" max="5677" width="11.42578125" style="48"/>
    <col min="5678" max="5678" width="12.5703125" style="48" bestFit="1" customWidth="1"/>
    <col min="5679" max="5911" width="11.42578125" style="48"/>
    <col min="5912" max="5912" width="4" style="48" customWidth="1"/>
    <col min="5913" max="5913" width="22.7109375" style="48" customWidth="1"/>
    <col min="5914" max="5914" width="0.85546875" style="48" customWidth="1"/>
    <col min="5915" max="5915" width="8.7109375" style="48" customWidth="1"/>
    <col min="5916" max="5916" width="0.85546875" style="48" customWidth="1"/>
    <col min="5917" max="5917" width="16.140625" style="48" customWidth="1"/>
    <col min="5918" max="5918" width="20.7109375" style="48" customWidth="1"/>
    <col min="5919" max="5919" width="0.85546875" style="48" customWidth="1"/>
    <col min="5920" max="5920" width="14.42578125" style="48" customWidth="1"/>
    <col min="5921" max="5921" width="14.7109375" style="48" customWidth="1"/>
    <col min="5922" max="5922" width="0.85546875" style="48" customWidth="1"/>
    <col min="5923" max="5924" width="14.7109375" style="48" customWidth="1"/>
    <col min="5925" max="5925" width="0.85546875" style="48" customWidth="1"/>
    <col min="5926" max="5926" width="14.7109375" style="48" customWidth="1"/>
    <col min="5927" max="5927" width="0.85546875" style="48" customWidth="1"/>
    <col min="5928" max="5932" width="6.7109375" style="48" customWidth="1"/>
    <col min="5933" max="5933" width="11.42578125" style="48"/>
    <col min="5934" max="5934" width="12.5703125" style="48" bestFit="1" customWidth="1"/>
    <col min="5935" max="6167" width="11.42578125" style="48"/>
    <col min="6168" max="6168" width="4" style="48" customWidth="1"/>
    <col min="6169" max="6169" width="22.7109375" style="48" customWidth="1"/>
    <col min="6170" max="6170" width="0.85546875" style="48" customWidth="1"/>
    <col min="6171" max="6171" width="8.7109375" style="48" customWidth="1"/>
    <col min="6172" max="6172" width="0.85546875" style="48" customWidth="1"/>
    <col min="6173" max="6173" width="16.140625" style="48" customWidth="1"/>
    <col min="6174" max="6174" width="20.7109375" style="48" customWidth="1"/>
    <col min="6175" max="6175" width="0.85546875" style="48" customWidth="1"/>
    <col min="6176" max="6176" width="14.42578125" style="48" customWidth="1"/>
    <col min="6177" max="6177" width="14.7109375" style="48" customWidth="1"/>
    <col min="6178" max="6178" width="0.85546875" style="48" customWidth="1"/>
    <col min="6179" max="6180" width="14.7109375" style="48" customWidth="1"/>
    <col min="6181" max="6181" width="0.85546875" style="48" customWidth="1"/>
    <col min="6182" max="6182" width="14.7109375" style="48" customWidth="1"/>
    <col min="6183" max="6183" width="0.85546875" style="48" customWidth="1"/>
    <col min="6184" max="6188" width="6.7109375" style="48" customWidth="1"/>
    <col min="6189" max="6189" width="11.42578125" style="48"/>
    <col min="6190" max="6190" width="12.5703125" style="48" bestFit="1" customWidth="1"/>
    <col min="6191" max="6423" width="11.42578125" style="48"/>
    <col min="6424" max="6424" width="4" style="48" customWidth="1"/>
    <col min="6425" max="6425" width="22.7109375" style="48" customWidth="1"/>
    <col min="6426" max="6426" width="0.85546875" style="48" customWidth="1"/>
    <col min="6427" max="6427" width="8.7109375" style="48" customWidth="1"/>
    <col min="6428" max="6428" width="0.85546875" style="48" customWidth="1"/>
    <col min="6429" max="6429" width="16.140625" style="48" customWidth="1"/>
    <col min="6430" max="6430" width="20.7109375" style="48" customWidth="1"/>
    <col min="6431" max="6431" width="0.85546875" style="48" customWidth="1"/>
    <col min="6432" max="6432" width="14.42578125" style="48" customWidth="1"/>
    <col min="6433" max="6433" width="14.7109375" style="48" customWidth="1"/>
    <col min="6434" max="6434" width="0.85546875" style="48" customWidth="1"/>
    <col min="6435" max="6436" width="14.7109375" style="48" customWidth="1"/>
    <col min="6437" max="6437" width="0.85546875" style="48" customWidth="1"/>
    <col min="6438" max="6438" width="14.7109375" style="48" customWidth="1"/>
    <col min="6439" max="6439" width="0.85546875" style="48" customWidth="1"/>
    <col min="6440" max="6444" width="6.7109375" style="48" customWidth="1"/>
    <col min="6445" max="6445" width="11.42578125" style="48"/>
    <col min="6446" max="6446" width="12.5703125" style="48" bestFit="1" customWidth="1"/>
    <col min="6447" max="6679" width="11.42578125" style="48"/>
    <col min="6680" max="6680" width="4" style="48" customWidth="1"/>
    <col min="6681" max="6681" width="22.7109375" style="48" customWidth="1"/>
    <col min="6682" max="6682" width="0.85546875" style="48" customWidth="1"/>
    <col min="6683" max="6683" width="8.7109375" style="48" customWidth="1"/>
    <col min="6684" max="6684" width="0.85546875" style="48" customWidth="1"/>
    <col min="6685" max="6685" width="16.140625" style="48" customWidth="1"/>
    <col min="6686" max="6686" width="20.7109375" style="48" customWidth="1"/>
    <col min="6687" max="6687" width="0.85546875" style="48" customWidth="1"/>
    <col min="6688" max="6688" width="14.42578125" style="48" customWidth="1"/>
    <col min="6689" max="6689" width="14.7109375" style="48" customWidth="1"/>
    <col min="6690" max="6690" width="0.85546875" style="48" customWidth="1"/>
    <col min="6691" max="6692" width="14.7109375" style="48" customWidth="1"/>
    <col min="6693" max="6693" width="0.85546875" style="48" customWidth="1"/>
    <col min="6694" max="6694" width="14.7109375" style="48" customWidth="1"/>
    <col min="6695" max="6695" width="0.85546875" style="48" customWidth="1"/>
    <col min="6696" max="6700" width="6.7109375" style="48" customWidth="1"/>
    <col min="6701" max="6701" width="11.42578125" style="48"/>
    <col min="6702" max="6702" width="12.5703125" style="48" bestFit="1" customWidth="1"/>
    <col min="6703" max="6935" width="11.42578125" style="48"/>
    <col min="6936" max="6936" width="4" style="48" customWidth="1"/>
    <col min="6937" max="6937" width="22.7109375" style="48" customWidth="1"/>
    <col min="6938" max="6938" width="0.85546875" style="48" customWidth="1"/>
    <col min="6939" max="6939" width="8.7109375" style="48" customWidth="1"/>
    <col min="6940" max="6940" width="0.85546875" style="48" customWidth="1"/>
    <col min="6941" max="6941" width="16.140625" style="48" customWidth="1"/>
    <col min="6942" max="6942" width="20.7109375" style="48" customWidth="1"/>
    <col min="6943" max="6943" width="0.85546875" style="48" customWidth="1"/>
    <col min="6944" max="6944" width="14.42578125" style="48" customWidth="1"/>
    <col min="6945" max="6945" width="14.7109375" style="48" customWidth="1"/>
    <col min="6946" max="6946" width="0.85546875" style="48" customWidth="1"/>
    <col min="6947" max="6948" width="14.7109375" style="48" customWidth="1"/>
    <col min="6949" max="6949" width="0.85546875" style="48" customWidth="1"/>
    <col min="6950" max="6950" width="14.7109375" style="48" customWidth="1"/>
    <col min="6951" max="6951" width="0.85546875" style="48" customWidth="1"/>
    <col min="6952" max="6956" width="6.7109375" style="48" customWidth="1"/>
    <col min="6957" max="6957" width="11.42578125" style="48"/>
    <col min="6958" max="6958" width="12.5703125" style="48" bestFit="1" customWidth="1"/>
    <col min="6959" max="7191" width="11.42578125" style="48"/>
    <col min="7192" max="7192" width="4" style="48" customWidth="1"/>
    <col min="7193" max="7193" width="22.7109375" style="48" customWidth="1"/>
    <col min="7194" max="7194" width="0.85546875" style="48" customWidth="1"/>
    <col min="7195" max="7195" width="8.7109375" style="48" customWidth="1"/>
    <col min="7196" max="7196" width="0.85546875" style="48" customWidth="1"/>
    <col min="7197" max="7197" width="16.140625" style="48" customWidth="1"/>
    <col min="7198" max="7198" width="20.7109375" style="48" customWidth="1"/>
    <col min="7199" max="7199" width="0.85546875" style="48" customWidth="1"/>
    <col min="7200" max="7200" width="14.42578125" style="48" customWidth="1"/>
    <col min="7201" max="7201" width="14.7109375" style="48" customWidth="1"/>
    <col min="7202" max="7202" width="0.85546875" style="48" customWidth="1"/>
    <col min="7203" max="7204" width="14.7109375" style="48" customWidth="1"/>
    <col min="7205" max="7205" width="0.85546875" style="48" customWidth="1"/>
    <col min="7206" max="7206" width="14.7109375" style="48" customWidth="1"/>
    <col min="7207" max="7207" width="0.85546875" style="48" customWidth="1"/>
    <col min="7208" max="7212" width="6.7109375" style="48" customWidth="1"/>
    <col min="7213" max="7213" width="11.42578125" style="48"/>
    <col min="7214" max="7214" width="12.5703125" style="48" bestFit="1" customWidth="1"/>
    <col min="7215" max="7447" width="11.42578125" style="48"/>
    <col min="7448" max="7448" width="4" style="48" customWidth="1"/>
    <col min="7449" max="7449" width="22.7109375" style="48" customWidth="1"/>
    <col min="7450" max="7450" width="0.85546875" style="48" customWidth="1"/>
    <col min="7451" max="7451" width="8.7109375" style="48" customWidth="1"/>
    <col min="7452" max="7452" width="0.85546875" style="48" customWidth="1"/>
    <col min="7453" max="7453" width="16.140625" style="48" customWidth="1"/>
    <col min="7454" max="7454" width="20.7109375" style="48" customWidth="1"/>
    <col min="7455" max="7455" width="0.85546875" style="48" customWidth="1"/>
    <col min="7456" max="7456" width="14.42578125" style="48" customWidth="1"/>
    <col min="7457" max="7457" width="14.7109375" style="48" customWidth="1"/>
    <col min="7458" max="7458" width="0.85546875" style="48" customWidth="1"/>
    <col min="7459" max="7460" width="14.7109375" style="48" customWidth="1"/>
    <col min="7461" max="7461" width="0.85546875" style="48" customWidth="1"/>
    <col min="7462" max="7462" width="14.7109375" style="48" customWidth="1"/>
    <col min="7463" max="7463" width="0.85546875" style="48" customWidth="1"/>
    <col min="7464" max="7468" width="6.7109375" style="48" customWidth="1"/>
    <col min="7469" max="7469" width="11.42578125" style="48"/>
    <col min="7470" max="7470" width="12.5703125" style="48" bestFit="1" customWidth="1"/>
    <col min="7471" max="7703" width="11.42578125" style="48"/>
    <col min="7704" max="7704" width="4" style="48" customWidth="1"/>
    <col min="7705" max="7705" width="22.7109375" style="48" customWidth="1"/>
    <col min="7706" max="7706" width="0.85546875" style="48" customWidth="1"/>
    <col min="7707" max="7707" width="8.7109375" style="48" customWidth="1"/>
    <col min="7708" max="7708" width="0.85546875" style="48" customWidth="1"/>
    <col min="7709" max="7709" width="16.140625" style="48" customWidth="1"/>
    <col min="7710" max="7710" width="20.7109375" style="48" customWidth="1"/>
    <col min="7711" max="7711" width="0.85546875" style="48" customWidth="1"/>
    <col min="7712" max="7712" width="14.42578125" style="48" customWidth="1"/>
    <col min="7713" max="7713" width="14.7109375" style="48" customWidth="1"/>
    <col min="7714" max="7714" width="0.85546875" style="48" customWidth="1"/>
    <col min="7715" max="7716" width="14.7109375" style="48" customWidth="1"/>
    <col min="7717" max="7717" width="0.85546875" style="48" customWidth="1"/>
    <col min="7718" max="7718" width="14.7109375" style="48" customWidth="1"/>
    <col min="7719" max="7719" width="0.85546875" style="48" customWidth="1"/>
    <col min="7720" max="7724" width="6.7109375" style="48" customWidth="1"/>
    <col min="7725" max="7725" width="11.42578125" style="48"/>
    <col min="7726" max="7726" width="12.5703125" style="48" bestFit="1" customWidth="1"/>
    <col min="7727" max="7959" width="11.42578125" style="48"/>
    <col min="7960" max="7960" width="4" style="48" customWidth="1"/>
    <col min="7961" max="7961" width="22.7109375" style="48" customWidth="1"/>
    <col min="7962" max="7962" width="0.85546875" style="48" customWidth="1"/>
    <col min="7963" max="7963" width="8.7109375" style="48" customWidth="1"/>
    <col min="7964" max="7964" width="0.85546875" style="48" customWidth="1"/>
    <col min="7965" max="7965" width="16.140625" style="48" customWidth="1"/>
    <col min="7966" max="7966" width="20.7109375" style="48" customWidth="1"/>
    <col min="7967" max="7967" width="0.85546875" style="48" customWidth="1"/>
    <col min="7968" max="7968" width="14.42578125" style="48" customWidth="1"/>
    <col min="7969" max="7969" width="14.7109375" style="48" customWidth="1"/>
    <col min="7970" max="7970" width="0.85546875" style="48" customWidth="1"/>
    <col min="7971" max="7972" width="14.7109375" style="48" customWidth="1"/>
    <col min="7973" max="7973" width="0.85546875" style="48" customWidth="1"/>
    <col min="7974" max="7974" width="14.7109375" style="48" customWidth="1"/>
    <col min="7975" max="7975" width="0.85546875" style="48" customWidth="1"/>
    <col min="7976" max="7980" width="6.7109375" style="48" customWidth="1"/>
    <col min="7981" max="7981" width="11.42578125" style="48"/>
    <col min="7982" max="7982" width="12.5703125" style="48" bestFit="1" customWidth="1"/>
    <col min="7983" max="8215" width="11.42578125" style="48"/>
    <col min="8216" max="8216" width="4" style="48" customWidth="1"/>
    <col min="8217" max="8217" width="22.7109375" style="48" customWidth="1"/>
    <col min="8218" max="8218" width="0.85546875" style="48" customWidth="1"/>
    <col min="8219" max="8219" width="8.7109375" style="48" customWidth="1"/>
    <col min="8220" max="8220" width="0.85546875" style="48" customWidth="1"/>
    <col min="8221" max="8221" width="16.140625" style="48" customWidth="1"/>
    <col min="8222" max="8222" width="20.7109375" style="48" customWidth="1"/>
    <col min="8223" max="8223" width="0.85546875" style="48" customWidth="1"/>
    <col min="8224" max="8224" width="14.42578125" style="48" customWidth="1"/>
    <col min="8225" max="8225" width="14.7109375" style="48" customWidth="1"/>
    <col min="8226" max="8226" width="0.85546875" style="48" customWidth="1"/>
    <col min="8227" max="8228" width="14.7109375" style="48" customWidth="1"/>
    <col min="8229" max="8229" width="0.85546875" style="48" customWidth="1"/>
    <col min="8230" max="8230" width="14.7109375" style="48" customWidth="1"/>
    <col min="8231" max="8231" width="0.85546875" style="48" customWidth="1"/>
    <col min="8232" max="8236" width="6.7109375" style="48" customWidth="1"/>
    <col min="8237" max="8237" width="11.42578125" style="48"/>
    <col min="8238" max="8238" width="12.5703125" style="48" bestFit="1" customWidth="1"/>
    <col min="8239" max="8471" width="11.42578125" style="48"/>
    <col min="8472" max="8472" width="4" style="48" customWidth="1"/>
    <col min="8473" max="8473" width="22.7109375" style="48" customWidth="1"/>
    <col min="8474" max="8474" width="0.85546875" style="48" customWidth="1"/>
    <col min="8475" max="8475" width="8.7109375" style="48" customWidth="1"/>
    <col min="8476" max="8476" width="0.85546875" style="48" customWidth="1"/>
    <col min="8477" max="8477" width="16.140625" style="48" customWidth="1"/>
    <col min="8478" max="8478" width="20.7109375" style="48" customWidth="1"/>
    <col min="8479" max="8479" width="0.85546875" style="48" customWidth="1"/>
    <col min="8480" max="8480" width="14.42578125" style="48" customWidth="1"/>
    <col min="8481" max="8481" width="14.7109375" style="48" customWidth="1"/>
    <col min="8482" max="8482" width="0.85546875" style="48" customWidth="1"/>
    <col min="8483" max="8484" width="14.7109375" style="48" customWidth="1"/>
    <col min="8485" max="8485" width="0.85546875" style="48" customWidth="1"/>
    <col min="8486" max="8486" width="14.7109375" style="48" customWidth="1"/>
    <col min="8487" max="8487" width="0.85546875" style="48" customWidth="1"/>
    <col min="8488" max="8492" width="6.7109375" style="48" customWidth="1"/>
    <col min="8493" max="8493" width="11.42578125" style="48"/>
    <col min="8494" max="8494" width="12.5703125" style="48" bestFit="1" customWidth="1"/>
    <col min="8495" max="8727" width="11.42578125" style="48"/>
    <col min="8728" max="8728" width="4" style="48" customWidth="1"/>
    <col min="8729" max="8729" width="22.7109375" style="48" customWidth="1"/>
    <col min="8730" max="8730" width="0.85546875" style="48" customWidth="1"/>
    <col min="8731" max="8731" width="8.7109375" style="48" customWidth="1"/>
    <col min="8732" max="8732" width="0.85546875" style="48" customWidth="1"/>
    <col min="8733" max="8733" width="16.140625" style="48" customWidth="1"/>
    <col min="8734" max="8734" width="20.7109375" style="48" customWidth="1"/>
    <col min="8735" max="8735" width="0.85546875" style="48" customWidth="1"/>
    <col min="8736" max="8736" width="14.42578125" style="48" customWidth="1"/>
    <col min="8737" max="8737" width="14.7109375" style="48" customWidth="1"/>
    <col min="8738" max="8738" width="0.85546875" style="48" customWidth="1"/>
    <col min="8739" max="8740" width="14.7109375" style="48" customWidth="1"/>
    <col min="8741" max="8741" width="0.85546875" style="48" customWidth="1"/>
    <col min="8742" max="8742" width="14.7109375" style="48" customWidth="1"/>
    <col min="8743" max="8743" width="0.85546875" style="48" customWidth="1"/>
    <col min="8744" max="8748" width="6.7109375" style="48" customWidth="1"/>
    <col min="8749" max="8749" width="11.42578125" style="48"/>
    <col min="8750" max="8750" width="12.5703125" style="48" bestFit="1" customWidth="1"/>
    <col min="8751" max="8983" width="11.42578125" style="48"/>
    <col min="8984" max="8984" width="4" style="48" customWidth="1"/>
    <col min="8985" max="8985" width="22.7109375" style="48" customWidth="1"/>
    <col min="8986" max="8986" width="0.85546875" style="48" customWidth="1"/>
    <col min="8987" max="8987" width="8.7109375" style="48" customWidth="1"/>
    <col min="8988" max="8988" width="0.85546875" style="48" customWidth="1"/>
    <col min="8989" max="8989" width="16.140625" style="48" customWidth="1"/>
    <col min="8990" max="8990" width="20.7109375" style="48" customWidth="1"/>
    <col min="8991" max="8991" width="0.85546875" style="48" customWidth="1"/>
    <col min="8992" max="8992" width="14.42578125" style="48" customWidth="1"/>
    <col min="8993" max="8993" width="14.7109375" style="48" customWidth="1"/>
    <col min="8994" max="8994" width="0.85546875" style="48" customWidth="1"/>
    <col min="8995" max="8996" width="14.7109375" style="48" customWidth="1"/>
    <col min="8997" max="8997" width="0.85546875" style="48" customWidth="1"/>
    <col min="8998" max="8998" width="14.7109375" style="48" customWidth="1"/>
    <col min="8999" max="8999" width="0.85546875" style="48" customWidth="1"/>
    <col min="9000" max="9004" width="6.7109375" style="48" customWidth="1"/>
    <col min="9005" max="9005" width="11.42578125" style="48"/>
    <col min="9006" max="9006" width="12.5703125" style="48" bestFit="1" customWidth="1"/>
    <col min="9007" max="9239" width="11.42578125" style="48"/>
    <col min="9240" max="9240" width="4" style="48" customWidth="1"/>
    <col min="9241" max="9241" width="22.7109375" style="48" customWidth="1"/>
    <col min="9242" max="9242" width="0.85546875" style="48" customWidth="1"/>
    <col min="9243" max="9243" width="8.7109375" style="48" customWidth="1"/>
    <col min="9244" max="9244" width="0.85546875" style="48" customWidth="1"/>
    <col min="9245" max="9245" width="16.140625" style="48" customWidth="1"/>
    <col min="9246" max="9246" width="20.7109375" style="48" customWidth="1"/>
    <col min="9247" max="9247" width="0.85546875" style="48" customWidth="1"/>
    <col min="9248" max="9248" width="14.42578125" style="48" customWidth="1"/>
    <col min="9249" max="9249" width="14.7109375" style="48" customWidth="1"/>
    <col min="9250" max="9250" width="0.85546875" style="48" customWidth="1"/>
    <col min="9251" max="9252" width="14.7109375" style="48" customWidth="1"/>
    <col min="9253" max="9253" width="0.85546875" style="48" customWidth="1"/>
    <col min="9254" max="9254" width="14.7109375" style="48" customWidth="1"/>
    <col min="9255" max="9255" width="0.85546875" style="48" customWidth="1"/>
    <col min="9256" max="9260" width="6.7109375" style="48" customWidth="1"/>
    <col min="9261" max="9261" width="11.42578125" style="48"/>
    <col min="9262" max="9262" width="12.5703125" style="48" bestFit="1" customWidth="1"/>
    <col min="9263" max="9495" width="11.42578125" style="48"/>
    <col min="9496" max="9496" width="4" style="48" customWidth="1"/>
    <col min="9497" max="9497" width="22.7109375" style="48" customWidth="1"/>
    <col min="9498" max="9498" width="0.85546875" style="48" customWidth="1"/>
    <col min="9499" max="9499" width="8.7109375" style="48" customWidth="1"/>
    <col min="9500" max="9500" width="0.85546875" style="48" customWidth="1"/>
    <col min="9501" max="9501" width="16.140625" style="48" customWidth="1"/>
    <col min="9502" max="9502" width="20.7109375" style="48" customWidth="1"/>
    <col min="9503" max="9503" width="0.85546875" style="48" customWidth="1"/>
    <col min="9504" max="9504" width="14.42578125" style="48" customWidth="1"/>
    <col min="9505" max="9505" width="14.7109375" style="48" customWidth="1"/>
    <col min="9506" max="9506" width="0.85546875" style="48" customWidth="1"/>
    <col min="9507" max="9508" width="14.7109375" style="48" customWidth="1"/>
    <col min="9509" max="9509" width="0.85546875" style="48" customWidth="1"/>
    <col min="9510" max="9510" width="14.7109375" style="48" customWidth="1"/>
    <col min="9511" max="9511" width="0.85546875" style="48" customWidth="1"/>
    <col min="9512" max="9516" width="6.7109375" style="48" customWidth="1"/>
    <col min="9517" max="9517" width="11.42578125" style="48"/>
    <col min="9518" max="9518" width="12.5703125" style="48" bestFit="1" customWidth="1"/>
    <col min="9519" max="9751" width="11.42578125" style="48"/>
    <col min="9752" max="9752" width="4" style="48" customWidth="1"/>
    <col min="9753" max="9753" width="22.7109375" style="48" customWidth="1"/>
    <col min="9754" max="9754" width="0.85546875" style="48" customWidth="1"/>
    <col min="9755" max="9755" width="8.7109375" style="48" customWidth="1"/>
    <col min="9756" max="9756" width="0.85546875" style="48" customWidth="1"/>
    <col min="9757" max="9757" width="16.140625" style="48" customWidth="1"/>
    <col min="9758" max="9758" width="20.7109375" style="48" customWidth="1"/>
    <col min="9759" max="9759" width="0.85546875" style="48" customWidth="1"/>
    <col min="9760" max="9760" width="14.42578125" style="48" customWidth="1"/>
    <col min="9761" max="9761" width="14.7109375" style="48" customWidth="1"/>
    <col min="9762" max="9762" width="0.85546875" style="48" customWidth="1"/>
    <col min="9763" max="9764" width="14.7109375" style="48" customWidth="1"/>
    <col min="9765" max="9765" width="0.85546875" style="48" customWidth="1"/>
    <col min="9766" max="9766" width="14.7109375" style="48" customWidth="1"/>
    <col min="9767" max="9767" width="0.85546875" style="48" customWidth="1"/>
    <col min="9768" max="9772" width="6.7109375" style="48" customWidth="1"/>
    <col min="9773" max="9773" width="11.42578125" style="48"/>
    <col min="9774" max="9774" width="12.5703125" style="48" bestFit="1" customWidth="1"/>
    <col min="9775" max="10007" width="11.42578125" style="48"/>
    <col min="10008" max="10008" width="4" style="48" customWidth="1"/>
    <col min="10009" max="10009" width="22.7109375" style="48" customWidth="1"/>
    <col min="10010" max="10010" width="0.85546875" style="48" customWidth="1"/>
    <col min="10011" max="10011" width="8.7109375" style="48" customWidth="1"/>
    <col min="10012" max="10012" width="0.85546875" style="48" customWidth="1"/>
    <col min="10013" max="10013" width="16.140625" style="48" customWidth="1"/>
    <col min="10014" max="10014" width="20.7109375" style="48" customWidth="1"/>
    <col min="10015" max="10015" width="0.85546875" style="48" customWidth="1"/>
    <col min="10016" max="10016" width="14.42578125" style="48" customWidth="1"/>
    <col min="10017" max="10017" width="14.7109375" style="48" customWidth="1"/>
    <col min="10018" max="10018" width="0.85546875" style="48" customWidth="1"/>
    <col min="10019" max="10020" width="14.7109375" style="48" customWidth="1"/>
    <col min="10021" max="10021" width="0.85546875" style="48" customWidth="1"/>
    <col min="10022" max="10022" width="14.7109375" style="48" customWidth="1"/>
    <col min="10023" max="10023" width="0.85546875" style="48" customWidth="1"/>
    <col min="10024" max="10028" width="6.7109375" style="48" customWidth="1"/>
    <col min="10029" max="10029" width="11.42578125" style="48"/>
    <col min="10030" max="10030" width="12.5703125" style="48" bestFit="1" customWidth="1"/>
    <col min="10031" max="10263" width="11.42578125" style="48"/>
    <col min="10264" max="10264" width="4" style="48" customWidth="1"/>
    <col min="10265" max="10265" width="22.7109375" style="48" customWidth="1"/>
    <col min="10266" max="10266" width="0.85546875" style="48" customWidth="1"/>
    <col min="10267" max="10267" width="8.7109375" style="48" customWidth="1"/>
    <col min="10268" max="10268" width="0.85546875" style="48" customWidth="1"/>
    <col min="10269" max="10269" width="16.140625" style="48" customWidth="1"/>
    <col min="10270" max="10270" width="20.7109375" style="48" customWidth="1"/>
    <col min="10271" max="10271" width="0.85546875" style="48" customWidth="1"/>
    <col min="10272" max="10272" width="14.42578125" style="48" customWidth="1"/>
    <col min="10273" max="10273" width="14.7109375" style="48" customWidth="1"/>
    <col min="10274" max="10274" width="0.85546875" style="48" customWidth="1"/>
    <col min="10275" max="10276" width="14.7109375" style="48" customWidth="1"/>
    <col min="10277" max="10277" width="0.85546875" style="48" customWidth="1"/>
    <col min="10278" max="10278" width="14.7109375" style="48" customWidth="1"/>
    <col min="10279" max="10279" width="0.85546875" style="48" customWidth="1"/>
    <col min="10280" max="10284" width="6.7109375" style="48" customWidth="1"/>
    <col min="10285" max="10285" width="11.42578125" style="48"/>
    <col min="10286" max="10286" width="12.5703125" style="48" bestFit="1" customWidth="1"/>
    <col min="10287" max="10519" width="11.42578125" style="48"/>
    <col min="10520" max="10520" width="4" style="48" customWidth="1"/>
    <col min="10521" max="10521" width="22.7109375" style="48" customWidth="1"/>
    <col min="10522" max="10522" width="0.85546875" style="48" customWidth="1"/>
    <col min="10523" max="10523" width="8.7109375" style="48" customWidth="1"/>
    <col min="10524" max="10524" width="0.85546875" style="48" customWidth="1"/>
    <col min="10525" max="10525" width="16.140625" style="48" customWidth="1"/>
    <col min="10526" max="10526" width="20.7109375" style="48" customWidth="1"/>
    <col min="10527" max="10527" width="0.85546875" style="48" customWidth="1"/>
    <col min="10528" max="10528" width="14.42578125" style="48" customWidth="1"/>
    <col min="10529" max="10529" width="14.7109375" style="48" customWidth="1"/>
    <col min="10530" max="10530" width="0.85546875" style="48" customWidth="1"/>
    <col min="10531" max="10532" width="14.7109375" style="48" customWidth="1"/>
    <col min="10533" max="10533" width="0.85546875" style="48" customWidth="1"/>
    <col min="10534" max="10534" width="14.7109375" style="48" customWidth="1"/>
    <col min="10535" max="10535" width="0.85546875" style="48" customWidth="1"/>
    <col min="10536" max="10540" width="6.7109375" style="48" customWidth="1"/>
    <col min="10541" max="10541" width="11.42578125" style="48"/>
    <col min="10542" max="10542" width="12.5703125" style="48" bestFit="1" customWidth="1"/>
    <col min="10543" max="10775" width="11.42578125" style="48"/>
    <col min="10776" max="10776" width="4" style="48" customWidth="1"/>
    <col min="10777" max="10777" width="22.7109375" style="48" customWidth="1"/>
    <col min="10778" max="10778" width="0.85546875" style="48" customWidth="1"/>
    <col min="10779" max="10779" width="8.7109375" style="48" customWidth="1"/>
    <col min="10780" max="10780" width="0.85546875" style="48" customWidth="1"/>
    <col min="10781" max="10781" width="16.140625" style="48" customWidth="1"/>
    <col min="10782" max="10782" width="20.7109375" style="48" customWidth="1"/>
    <col min="10783" max="10783" width="0.85546875" style="48" customWidth="1"/>
    <col min="10784" max="10784" width="14.42578125" style="48" customWidth="1"/>
    <col min="10785" max="10785" width="14.7109375" style="48" customWidth="1"/>
    <col min="10786" max="10786" width="0.85546875" style="48" customWidth="1"/>
    <col min="10787" max="10788" width="14.7109375" style="48" customWidth="1"/>
    <col min="10789" max="10789" width="0.85546875" style="48" customWidth="1"/>
    <col min="10790" max="10790" width="14.7109375" style="48" customWidth="1"/>
    <col min="10791" max="10791" width="0.85546875" style="48" customWidth="1"/>
    <col min="10792" max="10796" width="6.7109375" style="48" customWidth="1"/>
    <col min="10797" max="10797" width="11.42578125" style="48"/>
    <col min="10798" max="10798" width="12.5703125" style="48" bestFit="1" customWidth="1"/>
    <col min="10799" max="11031" width="11.42578125" style="48"/>
    <col min="11032" max="11032" width="4" style="48" customWidth="1"/>
    <col min="11033" max="11033" width="22.7109375" style="48" customWidth="1"/>
    <col min="11034" max="11034" width="0.85546875" style="48" customWidth="1"/>
    <col min="11035" max="11035" width="8.7109375" style="48" customWidth="1"/>
    <col min="11036" max="11036" width="0.85546875" style="48" customWidth="1"/>
    <col min="11037" max="11037" width="16.140625" style="48" customWidth="1"/>
    <col min="11038" max="11038" width="20.7109375" style="48" customWidth="1"/>
    <col min="11039" max="11039" width="0.85546875" style="48" customWidth="1"/>
    <col min="11040" max="11040" width="14.42578125" style="48" customWidth="1"/>
    <col min="11041" max="11041" width="14.7109375" style="48" customWidth="1"/>
    <col min="11042" max="11042" width="0.85546875" style="48" customWidth="1"/>
    <col min="11043" max="11044" width="14.7109375" style="48" customWidth="1"/>
    <col min="11045" max="11045" width="0.85546875" style="48" customWidth="1"/>
    <col min="11046" max="11046" width="14.7109375" style="48" customWidth="1"/>
    <col min="11047" max="11047" width="0.85546875" style="48" customWidth="1"/>
    <col min="11048" max="11052" width="6.7109375" style="48" customWidth="1"/>
    <col min="11053" max="11053" width="11.42578125" style="48"/>
    <col min="11054" max="11054" width="12.5703125" style="48" bestFit="1" customWidth="1"/>
    <col min="11055" max="11287" width="11.42578125" style="48"/>
    <col min="11288" max="11288" width="4" style="48" customWidth="1"/>
    <col min="11289" max="11289" width="22.7109375" style="48" customWidth="1"/>
    <col min="11290" max="11290" width="0.85546875" style="48" customWidth="1"/>
    <col min="11291" max="11291" width="8.7109375" style="48" customWidth="1"/>
    <col min="11292" max="11292" width="0.85546875" style="48" customWidth="1"/>
    <col min="11293" max="11293" width="16.140625" style="48" customWidth="1"/>
    <col min="11294" max="11294" width="20.7109375" style="48" customWidth="1"/>
    <col min="11295" max="11295" width="0.85546875" style="48" customWidth="1"/>
    <col min="11296" max="11296" width="14.42578125" style="48" customWidth="1"/>
    <col min="11297" max="11297" width="14.7109375" style="48" customWidth="1"/>
    <col min="11298" max="11298" width="0.85546875" style="48" customWidth="1"/>
    <col min="11299" max="11300" width="14.7109375" style="48" customWidth="1"/>
    <col min="11301" max="11301" width="0.85546875" style="48" customWidth="1"/>
    <col min="11302" max="11302" width="14.7109375" style="48" customWidth="1"/>
    <col min="11303" max="11303" width="0.85546875" style="48" customWidth="1"/>
    <col min="11304" max="11308" width="6.7109375" style="48" customWidth="1"/>
    <col min="11309" max="11309" width="11.42578125" style="48"/>
    <col min="11310" max="11310" width="12.5703125" style="48" bestFit="1" customWidth="1"/>
    <col min="11311" max="11543" width="11.42578125" style="48"/>
    <col min="11544" max="11544" width="4" style="48" customWidth="1"/>
    <col min="11545" max="11545" width="22.7109375" style="48" customWidth="1"/>
    <col min="11546" max="11546" width="0.85546875" style="48" customWidth="1"/>
    <col min="11547" max="11547" width="8.7109375" style="48" customWidth="1"/>
    <col min="11548" max="11548" width="0.85546875" style="48" customWidth="1"/>
    <col min="11549" max="11549" width="16.140625" style="48" customWidth="1"/>
    <col min="11550" max="11550" width="20.7109375" style="48" customWidth="1"/>
    <col min="11551" max="11551" width="0.85546875" style="48" customWidth="1"/>
    <col min="11552" max="11552" width="14.42578125" style="48" customWidth="1"/>
    <col min="11553" max="11553" width="14.7109375" style="48" customWidth="1"/>
    <col min="11554" max="11554" width="0.85546875" style="48" customWidth="1"/>
    <col min="11555" max="11556" width="14.7109375" style="48" customWidth="1"/>
    <col min="11557" max="11557" width="0.85546875" style="48" customWidth="1"/>
    <col min="11558" max="11558" width="14.7109375" style="48" customWidth="1"/>
    <col min="11559" max="11559" width="0.85546875" style="48" customWidth="1"/>
    <col min="11560" max="11564" width="6.7109375" style="48" customWidth="1"/>
    <col min="11565" max="11565" width="11.42578125" style="48"/>
    <col min="11566" max="11566" width="12.5703125" style="48" bestFit="1" customWidth="1"/>
    <col min="11567" max="11799" width="11.42578125" style="48"/>
    <col min="11800" max="11800" width="4" style="48" customWidth="1"/>
    <col min="11801" max="11801" width="22.7109375" style="48" customWidth="1"/>
    <col min="11802" max="11802" width="0.85546875" style="48" customWidth="1"/>
    <col min="11803" max="11803" width="8.7109375" style="48" customWidth="1"/>
    <col min="11804" max="11804" width="0.85546875" style="48" customWidth="1"/>
    <col min="11805" max="11805" width="16.140625" style="48" customWidth="1"/>
    <col min="11806" max="11806" width="20.7109375" style="48" customWidth="1"/>
    <col min="11807" max="11807" width="0.85546875" style="48" customWidth="1"/>
    <col min="11808" max="11808" width="14.42578125" style="48" customWidth="1"/>
    <col min="11809" max="11809" width="14.7109375" style="48" customWidth="1"/>
    <col min="11810" max="11810" width="0.85546875" style="48" customWidth="1"/>
    <col min="11811" max="11812" width="14.7109375" style="48" customWidth="1"/>
    <col min="11813" max="11813" width="0.85546875" style="48" customWidth="1"/>
    <col min="11814" max="11814" width="14.7109375" style="48" customWidth="1"/>
    <col min="11815" max="11815" width="0.85546875" style="48" customWidth="1"/>
    <col min="11816" max="11820" width="6.7109375" style="48" customWidth="1"/>
    <col min="11821" max="11821" width="11.42578125" style="48"/>
    <col min="11822" max="11822" width="12.5703125" style="48" bestFit="1" customWidth="1"/>
    <col min="11823" max="12055" width="11.42578125" style="48"/>
    <col min="12056" max="12056" width="4" style="48" customWidth="1"/>
    <col min="12057" max="12057" width="22.7109375" style="48" customWidth="1"/>
    <col min="12058" max="12058" width="0.85546875" style="48" customWidth="1"/>
    <col min="12059" max="12059" width="8.7109375" style="48" customWidth="1"/>
    <col min="12060" max="12060" width="0.85546875" style="48" customWidth="1"/>
    <col min="12061" max="12061" width="16.140625" style="48" customWidth="1"/>
    <col min="12062" max="12062" width="20.7109375" style="48" customWidth="1"/>
    <col min="12063" max="12063" width="0.85546875" style="48" customWidth="1"/>
    <col min="12064" max="12064" width="14.42578125" style="48" customWidth="1"/>
    <col min="12065" max="12065" width="14.7109375" style="48" customWidth="1"/>
    <col min="12066" max="12066" width="0.85546875" style="48" customWidth="1"/>
    <col min="12067" max="12068" width="14.7109375" style="48" customWidth="1"/>
    <col min="12069" max="12069" width="0.85546875" style="48" customWidth="1"/>
    <col min="12070" max="12070" width="14.7109375" style="48" customWidth="1"/>
    <col min="12071" max="12071" width="0.85546875" style="48" customWidth="1"/>
    <col min="12072" max="12076" width="6.7109375" style="48" customWidth="1"/>
    <col min="12077" max="12077" width="11.42578125" style="48"/>
    <col min="12078" max="12078" width="12.5703125" style="48" bestFit="1" customWidth="1"/>
    <col min="12079" max="12311" width="11.42578125" style="48"/>
    <col min="12312" max="12312" width="4" style="48" customWidth="1"/>
    <col min="12313" max="12313" width="22.7109375" style="48" customWidth="1"/>
    <col min="12314" max="12314" width="0.85546875" style="48" customWidth="1"/>
    <col min="12315" max="12315" width="8.7109375" style="48" customWidth="1"/>
    <col min="12316" max="12316" width="0.85546875" style="48" customWidth="1"/>
    <col min="12317" max="12317" width="16.140625" style="48" customWidth="1"/>
    <col min="12318" max="12318" width="20.7109375" style="48" customWidth="1"/>
    <col min="12319" max="12319" width="0.85546875" style="48" customWidth="1"/>
    <col min="12320" max="12320" width="14.42578125" style="48" customWidth="1"/>
    <col min="12321" max="12321" width="14.7109375" style="48" customWidth="1"/>
    <col min="12322" max="12322" width="0.85546875" style="48" customWidth="1"/>
    <col min="12323" max="12324" width="14.7109375" style="48" customWidth="1"/>
    <col min="12325" max="12325" width="0.85546875" style="48" customWidth="1"/>
    <col min="12326" max="12326" width="14.7109375" style="48" customWidth="1"/>
    <col min="12327" max="12327" width="0.85546875" style="48" customWidth="1"/>
    <col min="12328" max="12332" width="6.7109375" style="48" customWidth="1"/>
    <col min="12333" max="12333" width="11.42578125" style="48"/>
    <col min="12334" max="12334" width="12.5703125" style="48" bestFit="1" customWidth="1"/>
    <col min="12335" max="12567" width="11.42578125" style="48"/>
    <col min="12568" max="12568" width="4" style="48" customWidth="1"/>
    <col min="12569" max="12569" width="22.7109375" style="48" customWidth="1"/>
    <col min="12570" max="12570" width="0.85546875" style="48" customWidth="1"/>
    <col min="12571" max="12571" width="8.7109375" style="48" customWidth="1"/>
    <col min="12572" max="12572" width="0.85546875" style="48" customWidth="1"/>
    <col min="12573" max="12573" width="16.140625" style="48" customWidth="1"/>
    <col min="12574" max="12574" width="20.7109375" style="48" customWidth="1"/>
    <col min="12575" max="12575" width="0.85546875" style="48" customWidth="1"/>
    <col min="12576" max="12576" width="14.42578125" style="48" customWidth="1"/>
    <col min="12577" max="12577" width="14.7109375" style="48" customWidth="1"/>
    <col min="12578" max="12578" width="0.85546875" style="48" customWidth="1"/>
    <col min="12579" max="12580" width="14.7109375" style="48" customWidth="1"/>
    <col min="12581" max="12581" width="0.85546875" style="48" customWidth="1"/>
    <col min="12582" max="12582" width="14.7109375" style="48" customWidth="1"/>
    <col min="12583" max="12583" width="0.85546875" style="48" customWidth="1"/>
    <col min="12584" max="12588" width="6.7109375" style="48" customWidth="1"/>
    <col min="12589" max="12589" width="11.42578125" style="48"/>
    <col min="12590" max="12590" width="12.5703125" style="48" bestFit="1" customWidth="1"/>
    <col min="12591" max="12823" width="11.42578125" style="48"/>
    <col min="12824" max="12824" width="4" style="48" customWidth="1"/>
    <col min="12825" max="12825" width="22.7109375" style="48" customWidth="1"/>
    <col min="12826" max="12826" width="0.85546875" style="48" customWidth="1"/>
    <col min="12827" max="12827" width="8.7109375" style="48" customWidth="1"/>
    <col min="12828" max="12828" width="0.85546875" style="48" customWidth="1"/>
    <col min="12829" max="12829" width="16.140625" style="48" customWidth="1"/>
    <col min="12830" max="12830" width="20.7109375" style="48" customWidth="1"/>
    <col min="12831" max="12831" width="0.85546875" style="48" customWidth="1"/>
    <col min="12832" max="12832" width="14.42578125" style="48" customWidth="1"/>
    <col min="12833" max="12833" width="14.7109375" style="48" customWidth="1"/>
    <col min="12834" max="12834" width="0.85546875" style="48" customWidth="1"/>
    <col min="12835" max="12836" width="14.7109375" style="48" customWidth="1"/>
    <col min="12837" max="12837" width="0.85546875" style="48" customWidth="1"/>
    <col min="12838" max="12838" width="14.7109375" style="48" customWidth="1"/>
    <col min="12839" max="12839" width="0.85546875" style="48" customWidth="1"/>
    <col min="12840" max="12844" width="6.7109375" style="48" customWidth="1"/>
    <col min="12845" max="12845" width="11.42578125" style="48"/>
    <col min="12846" max="12846" width="12.5703125" style="48" bestFit="1" customWidth="1"/>
    <col min="12847" max="13079" width="11.42578125" style="48"/>
    <col min="13080" max="13080" width="4" style="48" customWidth="1"/>
    <col min="13081" max="13081" width="22.7109375" style="48" customWidth="1"/>
    <col min="13082" max="13082" width="0.85546875" style="48" customWidth="1"/>
    <col min="13083" max="13083" width="8.7109375" style="48" customWidth="1"/>
    <col min="13084" max="13084" width="0.85546875" style="48" customWidth="1"/>
    <col min="13085" max="13085" width="16.140625" style="48" customWidth="1"/>
    <col min="13086" max="13086" width="20.7109375" style="48" customWidth="1"/>
    <col min="13087" max="13087" width="0.85546875" style="48" customWidth="1"/>
    <col min="13088" max="13088" width="14.42578125" style="48" customWidth="1"/>
    <col min="13089" max="13089" width="14.7109375" style="48" customWidth="1"/>
    <col min="13090" max="13090" width="0.85546875" style="48" customWidth="1"/>
    <col min="13091" max="13092" width="14.7109375" style="48" customWidth="1"/>
    <col min="13093" max="13093" width="0.85546875" style="48" customWidth="1"/>
    <col min="13094" max="13094" width="14.7109375" style="48" customWidth="1"/>
    <col min="13095" max="13095" width="0.85546875" style="48" customWidth="1"/>
    <col min="13096" max="13100" width="6.7109375" style="48" customWidth="1"/>
    <col min="13101" max="13101" width="11.42578125" style="48"/>
    <col min="13102" max="13102" width="12.5703125" style="48" bestFit="1" customWidth="1"/>
    <col min="13103" max="13335" width="11.42578125" style="48"/>
    <col min="13336" max="13336" width="4" style="48" customWidth="1"/>
    <col min="13337" max="13337" width="22.7109375" style="48" customWidth="1"/>
    <col min="13338" max="13338" width="0.85546875" style="48" customWidth="1"/>
    <col min="13339" max="13339" width="8.7109375" style="48" customWidth="1"/>
    <col min="13340" max="13340" width="0.85546875" style="48" customWidth="1"/>
    <col min="13341" max="13341" width="16.140625" style="48" customWidth="1"/>
    <col min="13342" max="13342" width="20.7109375" style="48" customWidth="1"/>
    <col min="13343" max="13343" width="0.85546875" style="48" customWidth="1"/>
    <col min="13344" max="13344" width="14.42578125" style="48" customWidth="1"/>
    <col min="13345" max="13345" width="14.7109375" style="48" customWidth="1"/>
    <col min="13346" max="13346" width="0.85546875" style="48" customWidth="1"/>
    <col min="13347" max="13348" width="14.7109375" style="48" customWidth="1"/>
    <col min="13349" max="13349" width="0.85546875" style="48" customWidth="1"/>
    <col min="13350" max="13350" width="14.7109375" style="48" customWidth="1"/>
    <col min="13351" max="13351" width="0.85546875" style="48" customWidth="1"/>
    <col min="13352" max="13356" width="6.7109375" style="48" customWidth="1"/>
    <col min="13357" max="13357" width="11.42578125" style="48"/>
    <col min="13358" max="13358" width="12.5703125" style="48" bestFit="1" customWidth="1"/>
    <col min="13359" max="13591" width="11.42578125" style="48"/>
    <col min="13592" max="13592" width="4" style="48" customWidth="1"/>
    <col min="13593" max="13593" width="22.7109375" style="48" customWidth="1"/>
    <col min="13594" max="13594" width="0.85546875" style="48" customWidth="1"/>
    <col min="13595" max="13595" width="8.7109375" style="48" customWidth="1"/>
    <col min="13596" max="13596" width="0.85546875" style="48" customWidth="1"/>
    <col min="13597" max="13597" width="16.140625" style="48" customWidth="1"/>
    <col min="13598" max="13598" width="20.7109375" style="48" customWidth="1"/>
    <col min="13599" max="13599" width="0.85546875" style="48" customWidth="1"/>
    <col min="13600" max="13600" width="14.42578125" style="48" customWidth="1"/>
    <col min="13601" max="13601" width="14.7109375" style="48" customWidth="1"/>
    <col min="13602" max="13602" width="0.85546875" style="48" customWidth="1"/>
    <col min="13603" max="13604" width="14.7109375" style="48" customWidth="1"/>
    <col min="13605" max="13605" width="0.85546875" style="48" customWidth="1"/>
    <col min="13606" max="13606" width="14.7109375" style="48" customWidth="1"/>
    <col min="13607" max="13607" width="0.85546875" style="48" customWidth="1"/>
    <col min="13608" max="13612" width="6.7109375" style="48" customWidth="1"/>
    <col min="13613" max="13613" width="11.42578125" style="48"/>
    <col min="13614" max="13614" width="12.5703125" style="48" bestFit="1" customWidth="1"/>
    <col min="13615" max="13847" width="11.42578125" style="48"/>
    <col min="13848" max="13848" width="4" style="48" customWidth="1"/>
    <col min="13849" max="13849" width="22.7109375" style="48" customWidth="1"/>
    <col min="13850" max="13850" width="0.85546875" style="48" customWidth="1"/>
    <col min="13851" max="13851" width="8.7109375" style="48" customWidth="1"/>
    <col min="13852" max="13852" width="0.85546875" style="48" customWidth="1"/>
    <col min="13853" max="13853" width="16.140625" style="48" customWidth="1"/>
    <col min="13854" max="13854" width="20.7109375" style="48" customWidth="1"/>
    <col min="13855" max="13855" width="0.85546875" style="48" customWidth="1"/>
    <col min="13856" max="13856" width="14.42578125" style="48" customWidth="1"/>
    <col min="13857" max="13857" width="14.7109375" style="48" customWidth="1"/>
    <col min="13858" max="13858" width="0.85546875" style="48" customWidth="1"/>
    <col min="13859" max="13860" width="14.7109375" style="48" customWidth="1"/>
    <col min="13861" max="13861" width="0.85546875" style="48" customWidth="1"/>
    <col min="13862" max="13862" width="14.7109375" style="48" customWidth="1"/>
    <col min="13863" max="13863" width="0.85546875" style="48" customWidth="1"/>
    <col min="13864" max="13868" width="6.7109375" style="48" customWidth="1"/>
    <col min="13869" max="13869" width="11.42578125" style="48"/>
    <col min="13870" max="13870" width="12.5703125" style="48" bestFit="1" customWidth="1"/>
    <col min="13871" max="14103" width="11.42578125" style="48"/>
    <col min="14104" max="14104" width="4" style="48" customWidth="1"/>
    <col min="14105" max="14105" width="22.7109375" style="48" customWidth="1"/>
    <col min="14106" max="14106" width="0.85546875" style="48" customWidth="1"/>
    <col min="14107" max="14107" width="8.7109375" style="48" customWidth="1"/>
    <col min="14108" max="14108" width="0.85546875" style="48" customWidth="1"/>
    <col min="14109" max="14109" width="16.140625" style="48" customWidth="1"/>
    <col min="14110" max="14110" width="20.7109375" style="48" customWidth="1"/>
    <col min="14111" max="14111" width="0.85546875" style="48" customWidth="1"/>
    <col min="14112" max="14112" width="14.42578125" style="48" customWidth="1"/>
    <col min="14113" max="14113" width="14.7109375" style="48" customWidth="1"/>
    <col min="14114" max="14114" width="0.85546875" style="48" customWidth="1"/>
    <col min="14115" max="14116" width="14.7109375" style="48" customWidth="1"/>
    <col min="14117" max="14117" width="0.85546875" style="48" customWidth="1"/>
    <col min="14118" max="14118" width="14.7109375" style="48" customWidth="1"/>
    <col min="14119" max="14119" width="0.85546875" style="48" customWidth="1"/>
    <col min="14120" max="14124" width="6.7109375" style="48" customWidth="1"/>
    <col min="14125" max="14125" width="11.42578125" style="48"/>
    <col min="14126" max="14126" width="12.5703125" style="48" bestFit="1" customWidth="1"/>
    <col min="14127" max="14359" width="11.42578125" style="48"/>
    <col min="14360" max="14360" width="4" style="48" customWidth="1"/>
    <col min="14361" max="14361" width="22.7109375" style="48" customWidth="1"/>
    <col min="14362" max="14362" width="0.85546875" style="48" customWidth="1"/>
    <col min="14363" max="14363" width="8.7109375" style="48" customWidth="1"/>
    <col min="14364" max="14364" width="0.85546875" style="48" customWidth="1"/>
    <col min="14365" max="14365" width="16.140625" style="48" customWidth="1"/>
    <col min="14366" max="14366" width="20.7109375" style="48" customWidth="1"/>
    <col min="14367" max="14367" width="0.85546875" style="48" customWidth="1"/>
    <col min="14368" max="14368" width="14.42578125" style="48" customWidth="1"/>
    <col min="14369" max="14369" width="14.7109375" style="48" customWidth="1"/>
    <col min="14370" max="14370" width="0.85546875" style="48" customWidth="1"/>
    <col min="14371" max="14372" width="14.7109375" style="48" customWidth="1"/>
    <col min="14373" max="14373" width="0.85546875" style="48" customWidth="1"/>
    <col min="14374" max="14374" width="14.7109375" style="48" customWidth="1"/>
    <col min="14375" max="14375" width="0.85546875" style="48" customWidth="1"/>
    <col min="14376" max="14380" width="6.7109375" style="48" customWidth="1"/>
    <col min="14381" max="14381" width="11.42578125" style="48"/>
    <col min="14382" max="14382" width="12.5703125" style="48" bestFit="1" customWidth="1"/>
    <col min="14383" max="14615" width="11.42578125" style="48"/>
    <col min="14616" max="14616" width="4" style="48" customWidth="1"/>
    <col min="14617" max="14617" width="22.7109375" style="48" customWidth="1"/>
    <col min="14618" max="14618" width="0.85546875" style="48" customWidth="1"/>
    <col min="14619" max="14619" width="8.7109375" style="48" customWidth="1"/>
    <col min="14620" max="14620" width="0.85546875" style="48" customWidth="1"/>
    <col min="14621" max="14621" width="16.140625" style="48" customWidth="1"/>
    <col min="14622" max="14622" width="20.7109375" style="48" customWidth="1"/>
    <col min="14623" max="14623" width="0.85546875" style="48" customWidth="1"/>
    <col min="14624" max="14624" width="14.42578125" style="48" customWidth="1"/>
    <col min="14625" max="14625" width="14.7109375" style="48" customWidth="1"/>
    <col min="14626" max="14626" width="0.85546875" style="48" customWidth="1"/>
    <col min="14627" max="14628" width="14.7109375" style="48" customWidth="1"/>
    <col min="14629" max="14629" width="0.85546875" style="48" customWidth="1"/>
    <col min="14630" max="14630" width="14.7109375" style="48" customWidth="1"/>
    <col min="14631" max="14631" width="0.85546875" style="48" customWidth="1"/>
    <col min="14632" max="14636" width="6.7109375" style="48" customWidth="1"/>
    <col min="14637" max="14637" width="11.42578125" style="48"/>
    <col min="14638" max="14638" width="12.5703125" style="48" bestFit="1" customWidth="1"/>
    <col min="14639" max="14871" width="11.42578125" style="48"/>
    <col min="14872" max="14872" width="4" style="48" customWidth="1"/>
    <col min="14873" max="14873" width="22.7109375" style="48" customWidth="1"/>
    <col min="14874" max="14874" width="0.85546875" style="48" customWidth="1"/>
    <col min="14875" max="14875" width="8.7109375" style="48" customWidth="1"/>
    <col min="14876" max="14876" width="0.85546875" style="48" customWidth="1"/>
    <col min="14877" max="14877" width="16.140625" style="48" customWidth="1"/>
    <col min="14878" max="14878" width="20.7109375" style="48" customWidth="1"/>
    <col min="14879" max="14879" width="0.85546875" style="48" customWidth="1"/>
    <col min="14880" max="14880" width="14.42578125" style="48" customWidth="1"/>
    <col min="14881" max="14881" width="14.7109375" style="48" customWidth="1"/>
    <col min="14882" max="14882" width="0.85546875" style="48" customWidth="1"/>
    <col min="14883" max="14884" width="14.7109375" style="48" customWidth="1"/>
    <col min="14885" max="14885" width="0.85546875" style="48" customWidth="1"/>
    <col min="14886" max="14886" width="14.7109375" style="48" customWidth="1"/>
    <col min="14887" max="14887" width="0.85546875" style="48" customWidth="1"/>
    <col min="14888" max="14892" width="6.7109375" style="48" customWidth="1"/>
    <col min="14893" max="14893" width="11.42578125" style="48"/>
    <col min="14894" max="14894" width="12.5703125" style="48" bestFit="1" customWidth="1"/>
    <col min="14895" max="15127" width="11.42578125" style="48"/>
    <col min="15128" max="15128" width="4" style="48" customWidth="1"/>
    <col min="15129" max="15129" width="22.7109375" style="48" customWidth="1"/>
    <col min="15130" max="15130" width="0.85546875" style="48" customWidth="1"/>
    <col min="15131" max="15131" width="8.7109375" style="48" customWidth="1"/>
    <col min="15132" max="15132" width="0.85546875" style="48" customWidth="1"/>
    <col min="15133" max="15133" width="16.140625" style="48" customWidth="1"/>
    <col min="15134" max="15134" width="20.7109375" style="48" customWidth="1"/>
    <col min="15135" max="15135" width="0.85546875" style="48" customWidth="1"/>
    <col min="15136" max="15136" width="14.42578125" style="48" customWidth="1"/>
    <col min="15137" max="15137" width="14.7109375" style="48" customWidth="1"/>
    <col min="15138" max="15138" width="0.85546875" style="48" customWidth="1"/>
    <col min="15139" max="15140" width="14.7109375" style="48" customWidth="1"/>
    <col min="15141" max="15141" width="0.85546875" style="48" customWidth="1"/>
    <col min="15142" max="15142" width="14.7109375" style="48" customWidth="1"/>
    <col min="15143" max="15143" width="0.85546875" style="48" customWidth="1"/>
    <col min="15144" max="15148" width="6.7109375" style="48" customWidth="1"/>
    <col min="15149" max="15149" width="11.42578125" style="48"/>
    <col min="15150" max="15150" width="12.5703125" style="48" bestFit="1" customWidth="1"/>
    <col min="15151" max="15383" width="11.42578125" style="48"/>
    <col min="15384" max="15384" width="4" style="48" customWidth="1"/>
    <col min="15385" max="15385" width="22.7109375" style="48" customWidth="1"/>
    <col min="15386" max="15386" width="0.85546875" style="48" customWidth="1"/>
    <col min="15387" max="15387" width="8.7109375" style="48" customWidth="1"/>
    <col min="15388" max="15388" width="0.85546875" style="48" customWidth="1"/>
    <col min="15389" max="15389" width="16.140625" style="48" customWidth="1"/>
    <col min="15390" max="15390" width="20.7109375" style="48" customWidth="1"/>
    <col min="15391" max="15391" width="0.85546875" style="48" customWidth="1"/>
    <col min="15392" max="15392" width="14.42578125" style="48" customWidth="1"/>
    <col min="15393" max="15393" width="14.7109375" style="48" customWidth="1"/>
    <col min="15394" max="15394" width="0.85546875" style="48" customWidth="1"/>
    <col min="15395" max="15396" width="14.7109375" style="48" customWidth="1"/>
    <col min="15397" max="15397" width="0.85546875" style="48" customWidth="1"/>
    <col min="15398" max="15398" width="14.7109375" style="48" customWidth="1"/>
    <col min="15399" max="15399" width="0.85546875" style="48" customWidth="1"/>
    <col min="15400" max="15404" width="6.7109375" style="48" customWidth="1"/>
    <col min="15405" max="15405" width="11.42578125" style="48"/>
    <col min="15406" max="15406" width="12.5703125" style="48" bestFit="1" customWidth="1"/>
    <col min="15407" max="15639" width="11.42578125" style="48"/>
    <col min="15640" max="15640" width="4" style="48" customWidth="1"/>
    <col min="15641" max="15641" width="22.7109375" style="48" customWidth="1"/>
    <col min="15642" max="15642" width="0.85546875" style="48" customWidth="1"/>
    <col min="15643" max="15643" width="8.7109375" style="48" customWidth="1"/>
    <col min="15644" max="15644" width="0.85546875" style="48" customWidth="1"/>
    <col min="15645" max="15645" width="16.140625" style="48" customWidth="1"/>
    <col min="15646" max="15646" width="20.7109375" style="48" customWidth="1"/>
    <col min="15647" max="15647" width="0.85546875" style="48" customWidth="1"/>
    <col min="15648" max="15648" width="14.42578125" style="48" customWidth="1"/>
    <col min="15649" max="15649" width="14.7109375" style="48" customWidth="1"/>
    <col min="15650" max="15650" width="0.85546875" style="48" customWidth="1"/>
    <col min="15651" max="15652" width="14.7109375" style="48" customWidth="1"/>
    <col min="15653" max="15653" width="0.85546875" style="48" customWidth="1"/>
    <col min="15654" max="15654" width="14.7109375" style="48" customWidth="1"/>
    <col min="15655" max="15655" width="0.85546875" style="48" customWidth="1"/>
    <col min="15656" max="15660" width="6.7109375" style="48" customWidth="1"/>
    <col min="15661" max="15661" width="11.42578125" style="48"/>
    <col min="15662" max="15662" width="12.5703125" style="48" bestFit="1" customWidth="1"/>
    <col min="15663" max="15895" width="11.42578125" style="48"/>
    <col min="15896" max="15896" width="4" style="48" customWidth="1"/>
    <col min="15897" max="15897" width="22.7109375" style="48" customWidth="1"/>
    <col min="15898" max="15898" width="0.85546875" style="48" customWidth="1"/>
    <col min="15899" max="15899" width="8.7109375" style="48" customWidth="1"/>
    <col min="15900" max="15900" width="0.85546875" style="48" customWidth="1"/>
    <col min="15901" max="15901" width="16.140625" style="48" customWidth="1"/>
    <col min="15902" max="15902" width="20.7109375" style="48" customWidth="1"/>
    <col min="15903" max="15903" width="0.85546875" style="48" customWidth="1"/>
    <col min="15904" max="15904" width="14.42578125" style="48" customWidth="1"/>
    <col min="15905" max="15905" width="14.7109375" style="48" customWidth="1"/>
    <col min="15906" max="15906" width="0.85546875" style="48" customWidth="1"/>
    <col min="15907" max="15908" width="14.7109375" style="48" customWidth="1"/>
    <col min="15909" max="15909" width="0.85546875" style="48" customWidth="1"/>
    <col min="15910" max="15910" width="14.7109375" style="48" customWidth="1"/>
    <col min="15911" max="15911" width="0.85546875" style="48" customWidth="1"/>
    <col min="15912" max="15916" width="6.7109375" style="48" customWidth="1"/>
    <col min="15917" max="15917" width="11.42578125" style="48"/>
    <col min="15918" max="15918" width="12.5703125" style="48" bestFit="1" customWidth="1"/>
    <col min="15919" max="16384" width="11.42578125" style="48"/>
  </cols>
  <sheetData>
    <row r="1" spans="1:21" ht="20.25" customHeight="1" x14ac:dyDescent="0.25">
      <c r="A1" s="232"/>
    </row>
    <row r="2" spans="1:21" ht="20.25" customHeight="1" x14ac:dyDescent="0.25">
      <c r="B2" s="832" t="s">
        <v>24</v>
      </c>
      <c r="C2" s="832"/>
      <c r="D2" s="832"/>
      <c r="E2" s="832"/>
      <c r="F2" s="832"/>
      <c r="G2" s="832"/>
      <c r="H2" s="832"/>
      <c r="I2" s="832"/>
      <c r="J2" s="832"/>
      <c r="K2" s="832"/>
      <c r="L2" s="832"/>
      <c r="M2" s="832"/>
      <c r="N2" s="832"/>
      <c r="O2" s="832"/>
      <c r="P2" s="832"/>
      <c r="Q2" s="832"/>
      <c r="R2" s="832"/>
      <c r="S2" s="832"/>
      <c r="T2" s="832"/>
      <c r="U2" s="832"/>
    </row>
    <row r="3" spans="1:21" ht="20.25" customHeight="1" x14ac:dyDescent="0.25">
      <c r="B3" s="4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spans="1:21" s="49" customFormat="1" ht="20.25" customHeight="1" x14ac:dyDescent="0.25">
      <c r="B4"/>
      <c r="C4" s="412"/>
      <c r="F4" s="820" t="s">
        <v>170</v>
      </c>
      <c r="G4" s="821"/>
      <c r="H4" s="431"/>
      <c r="I4" s="822" t="s">
        <v>195</v>
      </c>
      <c r="J4" s="823"/>
      <c r="K4" s="255"/>
      <c r="L4" s="824" t="s">
        <v>196</v>
      </c>
      <c r="M4" s="825"/>
      <c r="N4" s="8"/>
      <c r="O4" s="9" t="s">
        <v>0</v>
      </c>
      <c r="P4" s="7"/>
      <c r="Q4" s="829" t="s">
        <v>1</v>
      </c>
      <c r="R4" s="830"/>
      <c r="S4" s="830"/>
      <c r="T4" s="830"/>
      <c r="U4" s="831"/>
    </row>
    <row r="5" spans="1:21" s="49" customFormat="1" ht="30" customHeight="1" x14ac:dyDescent="0.25">
      <c r="B5" s="144"/>
      <c r="D5" s="50"/>
      <c r="F5" s="613" t="s">
        <v>193</v>
      </c>
      <c r="G5" s="613" t="s">
        <v>194</v>
      </c>
      <c r="H5" s="614"/>
      <c r="I5" s="11" t="s">
        <v>2</v>
      </c>
      <c r="J5" s="11" t="s">
        <v>3</v>
      </c>
      <c r="K5" s="255"/>
      <c r="L5" s="11" t="s">
        <v>2</v>
      </c>
      <c r="M5" s="11" t="s">
        <v>3</v>
      </c>
      <c r="N5" s="12"/>
      <c r="O5" s="13">
        <v>2025</v>
      </c>
      <c r="P5" s="7"/>
      <c r="Q5" s="829" t="s">
        <v>3</v>
      </c>
      <c r="R5" s="830"/>
      <c r="S5" s="831"/>
      <c r="T5" s="829" t="s">
        <v>4</v>
      </c>
      <c r="U5" s="831"/>
    </row>
    <row r="6" spans="1:21" s="14" customFormat="1" ht="20.25" customHeight="1" x14ac:dyDescent="0.25">
      <c r="B6" s="51"/>
      <c r="C6" s="52"/>
      <c r="D6" s="52"/>
      <c r="F6" s="53" t="s">
        <v>6</v>
      </c>
      <c r="G6" s="53" t="s">
        <v>7</v>
      </c>
      <c r="H6" s="54"/>
      <c r="I6" s="53" t="s">
        <v>8</v>
      </c>
      <c r="J6" s="53" t="s">
        <v>9</v>
      </c>
      <c r="K6" s="48"/>
      <c r="L6" s="53" t="s">
        <v>10</v>
      </c>
      <c r="M6" s="53" t="s">
        <v>11</v>
      </c>
      <c r="N6" s="55"/>
      <c r="O6" s="53" t="s">
        <v>12</v>
      </c>
      <c r="P6" s="49"/>
      <c r="Q6" s="56" t="s">
        <v>13</v>
      </c>
      <c r="R6" s="56" t="s">
        <v>14</v>
      </c>
      <c r="S6" s="56" t="s">
        <v>15</v>
      </c>
      <c r="T6" s="18" t="s">
        <v>158</v>
      </c>
      <c r="U6" s="18" t="s">
        <v>159</v>
      </c>
    </row>
    <row r="7" spans="1:21" s="58" customFormat="1" ht="24.95" customHeight="1" x14ac:dyDescent="0.25">
      <c r="B7" s="57" t="s">
        <v>25</v>
      </c>
      <c r="D7" s="834" t="s">
        <v>26</v>
      </c>
      <c r="E7" s="59"/>
      <c r="F7" s="240"/>
      <c r="G7" s="240"/>
      <c r="H7" s="243"/>
      <c r="I7" s="240"/>
      <c r="J7" s="240"/>
      <c r="K7" s="243"/>
      <c r="L7" s="240"/>
      <c r="M7" s="240"/>
      <c r="N7" s="55"/>
      <c r="O7" s="22"/>
      <c r="Q7" s="500" t="str">
        <f>IFERROR(J7/I7,"-")</f>
        <v>-</v>
      </c>
      <c r="R7" s="501" t="str">
        <f>IFERROR(M7/L7,"-")</f>
        <v>-</v>
      </c>
      <c r="S7" s="502" t="str">
        <f>IFERROR(M7/O7,"-")</f>
        <v>-</v>
      </c>
      <c r="T7" s="501" t="str">
        <f>IFERROR(J7/F7-1,"-")</f>
        <v>-</v>
      </c>
      <c r="U7" s="502" t="str">
        <f>IFERROR(M7/G7-1,"-")</f>
        <v>-</v>
      </c>
    </row>
    <row r="8" spans="1:21" s="61" customFormat="1" ht="24.95" customHeight="1" x14ac:dyDescent="0.25">
      <c r="B8" s="60" t="s">
        <v>139</v>
      </c>
      <c r="D8" s="835"/>
      <c r="E8" s="62"/>
      <c r="F8" s="137"/>
      <c r="G8" s="245"/>
      <c r="H8" s="533"/>
      <c r="I8" s="137"/>
      <c r="J8" s="245"/>
      <c r="K8" s="534"/>
      <c r="L8" s="137"/>
      <c r="M8" s="245"/>
      <c r="N8" s="55"/>
      <c r="O8" s="29"/>
      <c r="Q8" s="63" t="str">
        <f t="shared" ref="Q8:Q22" si="0">IFERROR(J8/I8,"-")</f>
        <v>-</v>
      </c>
      <c r="R8" s="64" t="str">
        <f t="shared" ref="R8:R22" si="1">IFERROR(M8/L8,"-")</f>
        <v>-</v>
      </c>
      <c r="S8" s="65" t="str">
        <f t="shared" ref="S8:S22" si="2">IFERROR(M8/O8,"-")</f>
        <v>-</v>
      </c>
      <c r="T8" s="64" t="str">
        <f t="shared" ref="T8:T22" si="3">IFERROR(J8/F8-1,"-")</f>
        <v>-</v>
      </c>
      <c r="U8" s="65" t="str">
        <f t="shared" ref="U8:U22" si="4">IFERROR(M8/G8-1,"-")</f>
        <v>-</v>
      </c>
    </row>
    <row r="9" spans="1:21" s="61" customFormat="1" ht="24.95" customHeight="1" x14ac:dyDescent="0.25">
      <c r="B9" s="66" t="s">
        <v>140</v>
      </c>
      <c r="D9" s="836"/>
      <c r="E9" s="62"/>
      <c r="F9" s="239"/>
      <c r="G9" s="246"/>
      <c r="H9" s="533"/>
      <c r="I9" s="239"/>
      <c r="J9" s="239"/>
      <c r="K9" s="534"/>
      <c r="L9" s="239"/>
      <c r="M9" s="239"/>
      <c r="N9" s="55"/>
      <c r="O9" s="33"/>
      <c r="Q9" s="67" t="str">
        <f t="shared" si="0"/>
        <v>-</v>
      </c>
      <c r="R9" s="68" t="str">
        <f t="shared" si="1"/>
        <v>-</v>
      </c>
      <c r="S9" s="69" t="str">
        <f t="shared" si="2"/>
        <v>-</v>
      </c>
      <c r="T9" s="68" t="str">
        <f t="shared" si="3"/>
        <v>-</v>
      </c>
      <c r="U9" s="69" t="str">
        <f t="shared" si="4"/>
        <v>-</v>
      </c>
    </row>
    <row r="10" spans="1:21" s="58" customFormat="1" ht="24.95" customHeight="1" x14ac:dyDescent="0.25">
      <c r="B10" s="57" t="s">
        <v>28</v>
      </c>
      <c r="D10" s="834" t="s">
        <v>26</v>
      </c>
      <c r="E10" s="59"/>
      <c r="F10" s="22"/>
      <c r="G10" s="22"/>
      <c r="H10" s="70"/>
      <c r="I10" s="22"/>
      <c r="J10" s="22"/>
      <c r="K10" s="70"/>
      <c r="L10" s="22"/>
      <c r="M10" s="22"/>
      <c r="N10" s="70"/>
      <c r="O10" s="22"/>
      <c r="P10" s="59"/>
      <c r="Q10" s="500" t="str">
        <f t="shared" si="0"/>
        <v>-</v>
      </c>
      <c r="R10" s="501" t="str">
        <f t="shared" si="1"/>
        <v>-</v>
      </c>
      <c r="S10" s="502" t="str">
        <f t="shared" si="2"/>
        <v>-</v>
      </c>
      <c r="T10" s="501" t="str">
        <f t="shared" si="3"/>
        <v>-</v>
      </c>
      <c r="U10" s="502" t="str">
        <f t="shared" si="4"/>
        <v>-</v>
      </c>
    </row>
    <row r="11" spans="1:21" s="61" customFormat="1" ht="24.95" customHeight="1" x14ac:dyDescent="0.25">
      <c r="B11" s="60" t="s">
        <v>139</v>
      </c>
      <c r="D11" s="835"/>
      <c r="E11" s="62"/>
      <c r="F11" s="137"/>
      <c r="G11" s="245"/>
      <c r="H11" s="533"/>
      <c r="I11" s="137"/>
      <c r="J11" s="245"/>
      <c r="K11" s="534"/>
      <c r="L11" s="137"/>
      <c r="M11" s="245"/>
      <c r="N11" s="55"/>
      <c r="O11" s="29"/>
      <c r="Q11" s="63" t="str">
        <f t="shared" si="0"/>
        <v>-</v>
      </c>
      <c r="R11" s="64" t="str">
        <f t="shared" si="1"/>
        <v>-</v>
      </c>
      <c r="S11" s="65" t="str">
        <f t="shared" si="2"/>
        <v>-</v>
      </c>
      <c r="T11" s="64" t="str">
        <f t="shared" si="3"/>
        <v>-</v>
      </c>
      <c r="U11" s="65" t="str">
        <f t="shared" si="4"/>
        <v>-</v>
      </c>
    </row>
    <row r="12" spans="1:21" s="61" customFormat="1" ht="24.95" customHeight="1" x14ac:dyDescent="0.25">
      <c r="B12" s="66" t="s">
        <v>140</v>
      </c>
      <c r="D12" s="836"/>
      <c r="E12" s="62"/>
      <c r="F12" s="239"/>
      <c r="G12" s="246"/>
      <c r="H12" s="533"/>
      <c r="I12" s="239"/>
      <c r="J12" s="239"/>
      <c r="K12" s="534"/>
      <c r="L12" s="239"/>
      <c r="M12" s="239"/>
      <c r="N12" s="55"/>
      <c r="O12" s="33"/>
      <c r="Q12" s="67" t="str">
        <f t="shared" si="0"/>
        <v>-</v>
      </c>
      <c r="R12" s="68" t="str">
        <f t="shared" si="1"/>
        <v>-</v>
      </c>
      <c r="S12" s="69" t="str">
        <f t="shared" si="2"/>
        <v>-</v>
      </c>
      <c r="T12" s="68" t="str">
        <f t="shared" si="3"/>
        <v>-</v>
      </c>
      <c r="U12" s="69" t="str">
        <f t="shared" si="4"/>
        <v>-</v>
      </c>
    </row>
    <row r="13" spans="1:21" s="58" customFormat="1" ht="24.95" customHeight="1" x14ac:dyDescent="0.25">
      <c r="B13" s="57" t="s">
        <v>29</v>
      </c>
      <c r="D13" s="834" t="s">
        <v>26</v>
      </c>
      <c r="E13" s="59"/>
      <c r="F13" s="22"/>
      <c r="G13" s="22"/>
      <c r="H13" s="70"/>
      <c r="I13" s="22"/>
      <c r="J13" s="22"/>
      <c r="K13" s="70"/>
      <c r="L13" s="22"/>
      <c r="M13" s="22"/>
      <c r="N13" s="70"/>
      <c r="O13" s="22"/>
      <c r="P13" s="38"/>
      <c r="Q13" s="500" t="str">
        <f t="shared" si="0"/>
        <v>-</v>
      </c>
      <c r="R13" s="501" t="str">
        <f t="shared" si="1"/>
        <v>-</v>
      </c>
      <c r="S13" s="502" t="str">
        <f t="shared" si="2"/>
        <v>-</v>
      </c>
      <c r="T13" s="501" t="str">
        <f t="shared" si="3"/>
        <v>-</v>
      </c>
      <c r="U13" s="502" t="str">
        <f t="shared" si="4"/>
        <v>-</v>
      </c>
    </row>
    <row r="14" spans="1:21" s="58" customFormat="1" ht="24.95" customHeight="1" x14ac:dyDescent="0.25">
      <c r="B14" s="60" t="s">
        <v>139</v>
      </c>
      <c r="D14" s="835"/>
      <c r="E14" s="59"/>
      <c r="F14" s="137"/>
      <c r="G14" s="245"/>
      <c r="H14" s="533"/>
      <c r="I14" s="137"/>
      <c r="J14" s="245"/>
      <c r="K14" s="534"/>
      <c r="L14" s="137"/>
      <c r="M14" s="245"/>
      <c r="N14" s="55"/>
      <c r="O14" s="29"/>
      <c r="P14" s="38"/>
      <c r="Q14" s="63" t="str">
        <f t="shared" si="0"/>
        <v>-</v>
      </c>
      <c r="R14" s="64" t="str">
        <f t="shared" si="1"/>
        <v>-</v>
      </c>
      <c r="S14" s="65" t="str">
        <f t="shared" si="2"/>
        <v>-</v>
      </c>
      <c r="T14" s="64" t="str">
        <f t="shared" si="3"/>
        <v>-</v>
      </c>
      <c r="U14" s="65" t="str">
        <f t="shared" si="4"/>
        <v>-</v>
      </c>
    </row>
    <row r="15" spans="1:21" s="58" customFormat="1" ht="24.95" customHeight="1" x14ac:dyDescent="0.25">
      <c r="B15" s="66" t="s">
        <v>140</v>
      </c>
      <c r="D15" s="836"/>
      <c r="E15" s="59"/>
      <c r="F15" s="239"/>
      <c r="G15" s="246"/>
      <c r="H15" s="533"/>
      <c r="I15" s="239"/>
      <c r="J15" s="239"/>
      <c r="K15" s="534"/>
      <c r="L15" s="239"/>
      <c r="M15" s="239"/>
      <c r="N15" s="55"/>
      <c r="O15" s="33"/>
      <c r="Q15" s="67" t="str">
        <f t="shared" si="0"/>
        <v>-</v>
      </c>
      <c r="R15" s="68" t="str">
        <f t="shared" si="1"/>
        <v>-</v>
      </c>
      <c r="S15" s="69" t="str">
        <f t="shared" si="2"/>
        <v>-</v>
      </c>
      <c r="T15" s="68" t="str">
        <f t="shared" si="3"/>
        <v>-</v>
      </c>
      <c r="U15" s="69" t="str">
        <f t="shared" si="4"/>
        <v>-</v>
      </c>
    </row>
    <row r="16" spans="1:21" s="58" customFormat="1" ht="24.95" customHeight="1" x14ac:dyDescent="0.25">
      <c r="B16" s="57" t="s">
        <v>30</v>
      </c>
      <c r="D16" s="834" t="s">
        <v>31</v>
      </c>
      <c r="E16" s="59"/>
      <c r="F16" s="70"/>
      <c r="G16" s="70"/>
      <c r="H16" s="70"/>
      <c r="I16" s="70"/>
      <c r="J16" s="70"/>
      <c r="K16" s="70"/>
      <c r="L16" s="70"/>
      <c r="M16" s="70"/>
      <c r="N16" s="70"/>
      <c r="O16" s="70"/>
      <c r="Q16" s="500" t="str">
        <f t="shared" si="0"/>
        <v>-</v>
      </c>
      <c r="R16" s="501" t="str">
        <f t="shared" si="1"/>
        <v>-</v>
      </c>
      <c r="S16" s="502" t="str">
        <f t="shared" si="2"/>
        <v>-</v>
      </c>
      <c r="T16" s="662" t="str">
        <f>IFERROR(J16/F16-1,"-")</f>
        <v>-</v>
      </c>
      <c r="U16" s="502" t="str">
        <f t="shared" si="4"/>
        <v>-</v>
      </c>
    </row>
    <row r="17" spans="2:21" s="58" customFormat="1" ht="24.95" customHeight="1" x14ac:dyDescent="0.25">
      <c r="B17" s="60" t="s">
        <v>139</v>
      </c>
      <c r="D17" s="835"/>
      <c r="E17" s="59"/>
      <c r="F17" s="137"/>
      <c r="G17" s="245"/>
      <c r="H17" s="533"/>
      <c r="I17" s="137"/>
      <c r="J17" s="245"/>
      <c r="K17" s="534"/>
      <c r="L17" s="137"/>
      <c r="M17" s="245"/>
      <c r="N17" s="55"/>
      <c r="O17" s="29"/>
      <c r="Q17" s="63" t="str">
        <f t="shared" si="0"/>
        <v>-</v>
      </c>
      <c r="R17" s="64" t="str">
        <f t="shared" si="1"/>
        <v>-</v>
      </c>
      <c r="S17" s="65" t="str">
        <f t="shared" si="2"/>
        <v>-</v>
      </c>
      <c r="T17" s="64" t="str">
        <f t="shared" si="3"/>
        <v>-</v>
      </c>
      <c r="U17" s="65" t="str">
        <f t="shared" si="4"/>
        <v>-</v>
      </c>
    </row>
    <row r="18" spans="2:21" s="58" customFormat="1" ht="24.95" customHeight="1" x14ac:dyDescent="0.25">
      <c r="B18" s="66" t="s">
        <v>140</v>
      </c>
      <c r="D18" s="836"/>
      <c r="E18" s="59"/>
      <c r="F18" s="239"/>
      <c r="G18" s="246"/>
      <c r="H18" s="541"/>
      <c r="I18" s="239"/>
      <c r="J18" s="33"/>
      <c r="K18" s="539"/>
      <c r="L18" s="33"/>
      <c r="M18" s="33"/>
      <c r="N18" s="55"/>
      <c r="O18" s="33"/>
      <c r="Q18" s="67" t="str">
        <f t="shared" si="0"/>
        <v>-</v>
      </c>
      <c r="R18" s="68" t="str">
        <f t="shared" si="1"/>
        <v>-</v>
      </c>
      <c r="S18" s="69" t="str">
        <f t="shared" si="2"/>
        <v>-</v>
      </c>
      <c r="T18" s="68" t="str">
        <f t="shared" si="3"/>
        <v>-</v>
      </c>
      <c r="U18" s="69" t="str">
        <f t="shared" si="4"/>
        <v>-</v>
      </c>
    </row>
    <row r="19" spans="2:21" s="59" customFormat="1" ht="6" customHeight="1" x14ac:dyDescent="0.25">
      <c r="B19" s="19"/>
      <c r="F19" s="139"/>
      <c r="G19" s="139"/>
      <c r="H19" s="541"/>
      <c r="I19" s="139"/>
      <c r="J19" s="72"/>
      <c r="K19" s="539"/>
      <c r="L19" s="72"/>
      <c r="M19" s="72"/>
      <c r="N19" s="55"/>
      <c r="O19" s="74"/>
      <c r="P19" s="75"/>
      <c r="Q19" s="68"/>
      <c r="R19" s="68"/>
      <c r="S19" s="68"/>
      <c r="T19" s="68"/>
      <c r="U19" s="68"/>
    </row>
    <row r="20" spans="2:21" s="58" customFormat="1" ht="24.95" customHeight="1" x14ac:dyDescent="0.25">
      <c r="B20" s="57" t="s">
        <v>32</v>
      </c>
      <c r="D20" s="837" t="s">
        <v>33</v>
      </c>
      <c r="E20" s="59"/>
      <c r="F20" s="240"/>
      <c r="G20" s="240"/>
      <c r="H20" s="541"/>
      <c r="I20" s="240"/>
      <c r="J20" s="24"/>
      <c r="K20" s="110"/>
      <c r="L20" s="22"/>
      <c r="M20" s="24"/>
      <c r="N20" s="55"/>
      <c r="O20" s="22"/>
      <c r="P20" s="38"/>
      <c r="Q20" s="500" t="str">
        <f t="shared" si="0"/>
        <v>-</v>
      </c>
      <c r="R20" s="501" t="str">
        <f t="shared" si="1"/>
        <v>-</v>
      </c>
      <c r="S20" s="502" t="str">
        <f t="shared" si="2"/>
        <v>-</v>
      </c>
      <c r="T20" s="501" t="str">
        <f t="shared" si="3"/>
        <v>-</v>
      </c>
      <c r="U20" s="502" t="str">
        <f t="shared" si="4"/>
        <v>-</v>
      </c>
    </row>
    <row r="21" spans="2:21" s="58" customFormat="1" ht="24.95" customHeight="1" x14ac:dyDescent="0.25">
      <c r="B21" s="60" t="s">
        <v>139</v>
      </c>
      <c r="D21" s="838"/>
      <c r="E21" s="59"/>
      <c r="F21" s="137"/>
      <c r="G21" s="137"/>
      <c r="H21" s="541"/>
      <c r="I21" s="137"/>
      <c r="J21" s="31"/>
      <c r="K21" s="539"/>
      <c r="L21" s="29"/>
      <c r="M21" s="31"/>
      <c r="N21" s="55"/>
      <c r="O21" s="29"/>
      <c r="P21" s="38"/>
      <c r="Q21" s="63" t="str">
        <f t="shared" si="0"/>
        <v>-</v>
      </c>
      <c r="R21" s="64" t="str">
        <f t="shared" si="1"/>
        <v>-</v>
      </c>
      <c r="S21" s="65" t="str">
        <f t="shared" si="2"/>
        <v>-</v>
      </c>
      <c r="T21" s="64" t="str">
        <f t="shared" si="3"/>
        <v>-</v>
      </c>
      <c r="U21" s="65" t="str">
        <f t="shared" si="4"/>
        <v>-</v>
      </c>
    </row>
    <row r="22" spans="2:21" s="58" customFormat="1" ht="24.95" customHeight="1" x14ac:dyDescent="0.25">
      <c r="B22" s="66" t="s">
        <v>140</v>
      </c>
      <c r="D22" s="839"/>
      <c r="E22" s="59"/>
      <c r="F22" s="239"/>
      <c r="G22" s="239"/>
      <c r="H22" s="541"/>
      <c r="I22" s="239"/>
      <c r="J22" s="34"/>
      <c r="K22" s="539"/>
      <c r="L22" s="33"/>
      <c r="M22" s="34"/>
      <c r="N22" s="55"/>
      <c r="O22" s="33"/>
      <c r="Q22" s="67" t="str">
        <f t="shared" si="0"/>
        <v>-</v>
      </c>
      <c r="R22" s="68" t="str">
        <f t="shared" si="1"/>
        <v>-</v>
      </c>
      <c r="S22" s="69" t="str">
        <f t="shared" si="2"/>
        <v>-</v>
      </c>
      <c r="T22" s="68" t="str">
        <f t="shared" si="3"/>
        <v>-</v>
      </c>
      <c r="U22" s="69" t="str">
        <f t="shared" si="4"/>
        <v>-</v>
      </c>
    </row>
    <row r="23" spans="2:21" s="58" customFormat="1" x14ac:dyDescent="0.25">
      <c r="B23" s="76"/>
      <c r="D23" s="59"/>
      <c r="E23" s="59"/>
      <c r="F23" s="77"/>
      <c r="G23" s="77"/>
      <c r="H23" s="77"/>
      <c r="I23" s="77"/>
      <c r="J23" s="142"/>
      <c r="L23" s="77"/>
      <c r="M23" s="77"/>
      <c r="N23" s="55"/>
      <c r="Q23" s="105"/>
      <c r="R23" s="105"/>
      <c r="S23" s="105"/>
      <c r="T23" s="105"/>
      <c r="U23" s="105"/>
    </row>
    <row r="24" spans="2:21" s="58" customFormat="1" ht="24.95" customHeight="1" x14ac:dyDescent="0.25">
      <c r="B24" s="584" t="s">
        <v>173</v>
      </c>
      <c r="D24" s="833" t="s">
        <v>31</v>
      </c>
      <c r="E24" s="59"/>
      <c r="F24" s="554"/>
      <c r="G24" s="554"/>
      <c r="H24" s="70"/>
      <c r="I24" s="554"/>
      <c r="J24" s="554"/>
      <c r="K24" s="70"/>
      <c r="L24" s="554"/>
      <c r="M24" s="554"/>
      <c r="N24" s="70"/>
      <c r="O24" s="554"/>
      <c r="Q24" s="555" t="str">
        <f t="shared" ref="Q24:Q26" si="5">IFERROR(J24/I24,"-")</f>
        <v>-</v>
      </c>
      <c r="R24" s="540" t="str">
        <f t="shared" ref="R24:R26" si="6">IFERROR(M24/L24,"-")</f>
        <v>-</v>
      </c>
      <c r="S24" s="556" t="str">
        <f t="shared" ref="S24:S26" si="7">IFERROR(M24/O24,"-")</f>
        <v>-</v>
      </c>
      <c r="T24" s="555" t="str">
        <f t="shared" ref="T24:T26" si="8">IFERROR(J24/F24-1,"-")</f>
        <v>-</v>
      </c>
      <c r="U24" s="556" t="str">
        <f t="shared" ref="U24:U26" si="9">IFERROR(M24/G24-1,"-")</f>
        <v>-</v>
      </c>
    </row>
    <row r="25" spans="2:21" s="58" customFormat="1" ht="24.95" customHeight="1" x14ac:dyDescent="0.25">
      <c r="B25" s="60" t="s">
        <v>139</v>
      </c>
      <c r="D25" s="833"/>
      <c r="E25" s="59"/>
      <c r="F25" s="137"/>
      <c r="G25" s="137"/>
      <c r="H25" s="533"/>
      <c r="I25" s="137"/>
      <c r="J25" s="137"/>
      <c r="K25" s="534"/>
      <c r="L25" s="137"/>
      <c r="M25" s="137"/>
      <c r="N25" s="55"/>
      <c r="O25" s="29"/>
      <c r="Q25" s="63" t="str">
        <f t="shared" si="5"/>
        <v>-</v>
      </c>
      <c r="R25" s="64" t="str">
        <f t="shared" si="6"/>
        <v>-</v>
      </c>
      <c r="S25" s="65" t="str">
        <f t="shared" si="7"/>
        <v>-</v>
      </c>
      <c r="T25" s="63" t="str">
        <f t="shared" si="8"/>
        <v>-</v>
      </c>
      <c r="U25" s="65" t="str">
        <f t="shared" si="9"/>
        <v>-</v>
      </c>
    </row>
    <row r="26" spans="2:21" s="58" customFormat="1" ht="24.95" customHeight="1" x14ac:dyDescent="0.25">
      <c r="B26" s="60" t="s">
        <v>140</v>
      </c>
      <c r="D26" s="833"/>
      <c r="E26" s="59"/>
      <c r="F26" s="137"/>
      <c r="G26" s="137"/>
      <c r="H26" s="541"/>
      <c r="I26" s="137"/>
      <c r="J26" s="29"/>
      <c r="K26" s="539"/>
      <c r="L26" s="29"/>
      <c r="M26" s="29"/>
      <c r="N26" s="55"/>
      <c r="O26" s="29"/>
      <c r="Q26" s="63" t="str">
        <f t="shared" si="5"/>
        <v>-</v>
      </c>
      <c r="R26" s="64" t="str">
        <f t="shared" si="6"/>
        <v>-</v>
      </c>
      <c r="S26" s="65" t="str">
        <f t="shared" si="7"/>
        <v>-</v>
      </c>
      <c r="T26" s="63" t="str">
        <f t="shared" si="8"/>
        <v>-</v>
      </c>
      <c r="U26" s="65" t="str">
        <f t="shared" si="9"/>
        <v>-</v>
      </c>
    </row>
    <row r="27" spans="2:21" s="58" customFormat="1" ht="24.95" customHeight="1" x14ac:dyDescent="0.25">
      <c r="B27" s="585" t="s">
        <v>174</v>
      </c>
      <c r="D27" s="833"/>
      <c r="E27" s="59"/>
      <c r="F27" s="586"/>
      <c r="G27" s="586"/>
      <c r="H27" s="587"/>
      <c r="I27" s="586"/>
      <c r="J27" s="588"/>
      <c r="K27" s="110"/>
      <c r="L27" s="583"/>
      <c r="M27" s="588"/>
      <c r="N27" s="26"/>
      <c r="O27" s="583"/>
      <c r="P27" s="493"/>
      <c r="Q27" s="67" t="str">
        <f t="shared" ref="Q27" si="10">IFERROR(J27/I27,"-")</f>
        <v>-</v>
      </c>
      <c r="R27" s="68" t="str">
        <f t="shared" ref="R27" si="11">IFERROR(M27/L27,"-")</f>
        <v>-</v>
      </c>
      <c r="S27" s="69" t="str">
        <f t="shared" ref="S27" si="12">IFERROR(M27/O27,"-")</f>
        <v>-</v>
      </c>
      <c r="T27" s="67" t="str">
        <f t="shared" ref="T27" si="13">IFERROR(J27/F27-1,"-")</f>
        <v>-</v>
      </c>
      <c r="U27" s="69" t="str">
        <f t="shared" ref="U27" si="14">IFERROR(M27/G27-1,"-")</f>
        <v>-</v>
      </c>
    </row>
    <row r="28" spans="2:21" ht="15" x14ac:dyDescent="0.25">
      <c r="F28" s="145"/>
      <c r="G28" s="145"/>
      <c r="H28" s="145"/>
      <c r="I28" s="145"/>
      <c r="J28" s="145"/>
      <c r="K28" s="145"/>
      <c r="L28" s="145"/>
      <c r="M28" s="145"/>
      <c r="N28" s="145"/>
      <c r="O28" s="145"/>
    </row>
    <row r="29" spans="2:21" ht="15" x14ac:dyDescent="0.25">
      <c r="F29" s="145"/>
    </row>
    <row r="30" spans="2:21" x14ac:dyDescent="0.25">
      <c r="M30" s="671"/>
    </row>
  </sheetData>
  <mergeCells count="13">
    <mergeCell ref="D24:D27"/>
    <mergeCell ref="D7:D9"/>
    <mergeCell ref="D10:D12"/>
    <mergeCell ref="D13:D15"/>
    <mergeCell ref="D16:D18"/>
    <mergeCell ref="D20:D22"/>
    <mergeCell ref="Q5:S5"/>
    <mergeCell ref="T5:U5"/>
    <mergeCell ref="B2:U2"/>
    <mergeCell ref="F4:G4"/>
    <mergeCell ref="I4:J4"/>
    <mergeCell ref="L4:M4"/>
    <mergeCell ref="Q4:U4"/>
  </mergeCell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73" orientation="landscape" r:id="rId1"/>
  <headerFooter>
    <oddFooter>&amp;LDCP SPE&amp;R&amp;P</oddFooter>
  </headerFooter>
  <customProperties>
    <customPr name="EpmWorksheetKeyString_GUID" r:id="rId2"/>
  </customProperties>
  <ignoredErrors>
    <ignoredError sqref="F6:O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64"/>
  <sheetViews>
    <sheetView showGridLines="0" view="pageBreakPreview" zoomScale="85" zoomScaleNormal="80" zoomScaleSheetLayoutView="85" workbookViewId="0">
      <selection activeCell="F7" sqref="F7:O19"/>
    </sheetView>
  </sheetViews>
  <sheetFormatPr baseColWidth="10" defaultColWidth="11.42578125" defaultRowHeight="12.75" x14ac:dyDescent="0.25"/>
  <cols>
    <col min="1" max="1" width="4" style="48" customWidth="1"/>
    <col min="2" max="2" width="22.7109375" style="79" customWidth="1"/>
    <col min="3" max="3" width="1" style="48" customWidth="1"/>
    <col min="4" max="4" width="10.7109375" style="49" customWidth="1"/>
    <col min="5" max="5" width="0.85546875" style="49" customWidth="1"/>
    <col min="6" max="6" width="15.7109375" style="49" customWidth="1"/>
    <col min="7" max="7" width="15.7109375" style="48" customWidth="1"/>
    <col min="8" max="8" width="0.85546875" style="48" customWidth="1"/>
    <col min="9" max="10" width="15.7109375" style="48" customWidth="1"/>
    <col min="11" max="11" width="0.85546875" style="48" customWidth="1"/>
    <col min="12" max="13" width="15.7109375" style="48" customWidth="1"/>
    <col min="14" max="14" width="0.85546875" style="48" customWidth="1"/>
    <col min="15" max="15" width="15.7109375" style="48" customWidth="1"/>
    <col min="16" max="16" width="0.85546875" style="48" customWidth="1"/>
    <col min="17" max="21" width="7.7109375" style="48" customWidth="1"/>
    <col min="22" max="218" width="11.42578125" style="48"/>
    <col min="219" max="219" width="4" style="48" customWidth="1"/>
    <col min="220" max="220" width="22.7109375" style="48" customWidth="1"/>
    <col min="221" max="221" width="1" style="48" customWidth="1"/>
    <col min="222" max="222" width="10.7109375" style="48" customWidth="1"/>
    <col min="223" max="223" width="0.85546875" style="48" customWidth="1"/>
    <col min="224" max="224" width="16.140625" style="48" customWidth="1"/>
    <col min="225" max="225" width="21.28515625" style="48" customWidth="1"/>
    <col min="226" max="226" width="0.85546875" style="48" customWidth="1"/>
    <col min="227" max="228" width="14.7109375" style="48" customWidth="1"/>
    <col min="229" max="229" width="0.85546875" style="48" customWidth="1"/>
    <col min="230" max="231" width="16.7109375" style="48" customWidth="1"/>
    <col min="232" max="232" width="0.85546875" style="48" customWidth="1"/>
    <col min="233" max="233" width="14.7109375" style="48" customWidth="1"/>
    <col min="234" max="234" width="0.85546875" style="48" customWidth="1"/>
    <col min="235" max="235" width="6.7109375" style="48" customWidth="1"/>
    <col min="236" max="236" width="9.42578125" style="48" customWidth="1"/>
    <col min="237" max="237" width="6.7109375" style="48" customWidth="1"/>
    <col min="238" max="238" width="7.5703125" style="48" customWidth="1"/>
    <col min="239" max="239" width="8" style="48" customWidth="1"/>
    <col min="240" max="474" width="11.42578125" style="48"/>
    <col min="475" max="475" width="4" style="48" customWidth="1"/>
    <col min="476" max="476" width="22.7109375" style="48" customWidth="1"/>
    <col min="477" max="477" width="1" style="48" customWidth="1"/>
    <col min="478" max="478" width="10.7109375" style="48" customWidth="1"/>
    <col min="479" max="479" width="0.85546875" style="48" customWidth="1"/>
    <col min="480" max="480" width="16.140625" style="48" customWidth="1"/>
    <col min="481" max="481" width="21.28515625" style="48" customWidth="1"/>
    <col min="482" max="482" width="0.85546875" style="48" customWidth="1"/>
    <col min="483" max="484" width="14.7109375" style="48" customWidth="1"/>
    <col min="485" max="485" width="0.85546875" style="48" customWidth="1"/>
    <col min="486" max="487" width="16.7109375" style="48" customWidth="1"/>
    <col min="488" max="488" width="0.85546875" style="48" customWidth="1"/>
    <col min="489" max="489" width="14.7109375" style="48" customWidth="1"/>
    <col min="490" max="490" width="0.85546875" style="48" customWidth="1"/>
    <col min="491" max="491" width="6.7109375" style="48" customWidth="1"/>
    <col min="492" max="492" width="9.42578125" style="48" customWidth="1"/>
    <col min="493" max="493" width="6.7109375" style="48" customWidth="1"/>
    <col min="494" max="494" width="7.5703125" style="48" customWidth="1"/>
    <col min="495" max="495" width="8" style="48" customWidth="1"/>
    <col min="496" max="730" width="11.42578125" style="48"/>
    <col min="731" max="731" width="4" style="48" customWidth="1"/>
    <col min="732" max="732" width="22.7109375" style="48" customWidth="1"/>
    <col min="733" max="733" width="1" style="48" customWidth="1"/>
    <col min="734" max="734" width="10.7109375" style="48" customWidth="1"/>
    <col min="735" max="735" width="0.85546875" style="48" customWidth="1"/>
    <col min="736" max="736" width="16.140625" style="48" customWidth="1"/>
    <col min="737" max="737" width="21.28515625" style="48" customWidth="1"/>
    <col min="738" max="738" width="0.85546875" style="48" customWidth="1"/>
    <col min="739" max="740" width="14.7109375" style="48" customWidth="1"/>
    <col min="741" max="741" width="0.85546875" style="48" customWidth="1"/>
    <col min="742" max="743" width="16.7109375" style="48" customWidth="1"/>
    <col min="744" max="744" width="0.85546875" style="48" customWidth="1"/>
    <col min="745" max="745" width="14.7109375" style="48" customWidth="1"/>
    <col min="746" max="746" width="0.85546875" style="48" customWidth="1"/>
    <col min="747" max="747" width="6.7109375" style="48" customWidth="1"/>
    <col min="748" max="748" width="9.42578125" style="48" customWidth="1"/>
    <col min="749" max="749" width="6.7109375" style="48" customWidth="1"/>
    <col min="750" max="750" width="7.5703125" style="48" customWidth="1"/>
    <col min="751" max="751" width="8" style="48" customWidth="1"/>
    <col min="752" max="986" width="11.42578125" style="48"/>
    <col min="987" max="987" width="4" style="48" customWidth="1"/>
    <col min="988" max="988" width="22.7109375" style="48" customWidth="1"/>
    <col min="989" max="989" width="1" style="48" customWidth="1"/>
    <col min="990" max="990" width="10.7109375" style="48" customWidth="1"/>
    <col min="991" max="991" width="0.85546875" style="48" customWidth="1"/>
    <col min="992" max="992" width="16.140625" style="48" customWidth="1"/>
    <col min="993" max="993" width="21.28515625" style="48" customWidth="1"/>
    <col min="994" max="994" width="0.85546875" style="48" customWidth="1"/>
    <col min="995" max="996" width="14.7109375" style="48" customWidth="1"/>
    <col min="997" max="997" width="0.85546875" style="48" customWidth="1"/>
    <col min="998" max="999" width="16.7109375" style="48" customWidth="1"/>
    <col min="1000" max="1000" width="0.85546875" style="48" customWidth="1"/>
    <col min="1001" max="1001" width="14.7109375" style="48" customWidth="1"/>
    <col min="1002" max="1002" width="0.85546875" style="48" customWidth="1"/>
    <col min="1003" max="1003" width="6.7109375" style="48" customWidth="1"/>
    <col min="1004" max="1004" width="9.42578125" style="48" customWidth="1"/>
    <col min="1005" max="1005" width="6.7109375" style="48" customWidth="1"/>
    <col min="1006" max="1006" width="7.5703125" style="48" customWidth="1"/>
    <col min="1007" max="1007" width="8" style="48" customWidth="1"/>
    <col min="1008" max="1242" width="11.42578125" style="48"/>
    <col min="1243" max="1243" width="4" style="48" customWidth="1"/>
    <col min="1244" max="1244" width="22.7109375" style="48" customWidth="1"/>
    <col min="1245" max="1245" width="1" style="48" customWidth="1"/>
    <col min="1246" max="1246" width="10.7109375" style="48" customWidth="1"/>
    <col min="1247" max="1247" width="0.85546875" style="48" customWidth="1"/>
    <col min="1248" max="1248" width="16.140625" style="48" customWidth="1"/>
    <col min="1249" max="1249" width="21.28515625" style="48" customWidth="1"/>
    <col min="1250" max="1250" width="0.85546875" style="48" customWidth="1"/>
    <col min="1251" max="1252" width="14.7109375" style="48" customWidth="1"/>
    <col min="1253" max="1253" width="0.85546875" style="48" customWidth="1"/>
    <col min="1254" max="1255" width="16.7109375" style="48" customWidth="1"/>
    <col min="1256" max="1256" width="0.85546875" style="48" customWidth="1"/>
    <col min="1257" max="1257" width="14.7109375" style="48" customWidth="1"/>
    <col min="1258" max="1258" width="0.85546875" style="48" customWidth="1"/>
    <col min="1259" max="1259" width="6.7109375" style="48" customWidth="1"/>
    <col min="1260" max="1260" width="9.42578125" style="48" customWidth="1"/>
    <col min="1261" max="1261" width="6.7109375" style="48" customWidth="1"/>
    <col min="1262" max="1262" width="7.5703125" style="48" customWidth="1"/>
    <col min="1263" max="1263" width="8" style="48" customWidth="1"/>
    <col min="1264" max="1498" width="11.42578125" style="48"/>
    <col min="1499" max="1499" width="4" style="48" customWidth="1"/>
    <col min="1500" max="1500" width="22.7109375" style="48" customWidth="1"/>
    <col min="1501" max="1501" width="1" style="48" customWidth="1"/>
    <col min="1502" max="1502" width="10.7109375" style="48" customWidth="1"/>
    <col min="1503" max="1503" width="0.85546875" style="48" customWidth="1"/>
    <col min="1504" max="1504" width="16.140625" style="48" customWidth="1"/>
    <col min="1505" max="1505" width="21.28515625" style="48" customWidth="1"/>
    <col min="1506" max="1506" width="0.85546875" style="48" customWidth="1"/>
    <col min="1507" max="1508" width="14.7109375" style="48" customWidth="1"/>
    <col min="1509" max="1509" width="0.85546875" style="48" customWidth="1"/>
    <col min="1510" max="1511" width="16.7109375" style="48" customWidth="1"/>
    <col min="1512" max="1512" width="0.85546875" style="48" customWidth="1"/>
    <col min="1513" max="1513" width="14.7109375" style="48" customWidth="1"/>
    <col min="1514" max="1514" width="0.85546875" style="48" customWidth="1"/>
    <col min="1515" max="1515" width="6.7109375" style="48" customWidth="1"/>
    <col min="1516" max="1516" width="9.42578125" style="48" customWidth="1"/>
    <col min="1517" max="1517" width="6.7109375" style="48" customWidth="1"/>
    <col min="1518" max="1518" width="7.5703125" style="48" customWidth="1"/>
    <col min="1519" max="1519" width="8" style="48" customWidth="1"/>
    <col min="1520" max="1754" width="11.42578125" style="48"/>
    <col min="1755" max="1755" width="4" style="48" customWidth="1"/>
    <col min="1756" max="1756" width="22.7109375" style="48" customWidth="1"/>
    <col min="1757" max="1757" width="1" style="48" customWidth="1"/>
    <col min="1758" max="1758" width="10.7109375" style="48" customWidth="1"/>
    <col min="1759" max="1759" width="0.85546875" style="48" customWidth="1"/>
    <col min="1760" max="1760" width="16.140625" style="48" customWidth="1"/>
    <col min="1761" max="1761" width="21.28515625" style="48" customWidth="1"/>
    <col min="1762" max="1762" width="0.85546875" style="48" customWidth="1"/>
    <col min="1763" max="1764" width="14.7109375" style="48" customWidth="1"/>
    <col min="1765" max="1765" width="0.85546875" style="48" customWidth="1"/>
    <col min="1766" max="1767" width="16.7109375" style="48" customWidth="1"/>
    <col min="1768" max="1768" width="0.85546875" style="48" customWidth="1"/>
    <col min="1769" max="1769" width="14.7109375" style="48" customWidth="1"/>
    <col min="1770" max="1770" width="0.85546875" style="48" customWidth="1"/>
    <col min="1771" max="1771" width="6.7109375" style="48" customWidth="1"/>
    <col min="1772" max="1772" width="9.42578125" style="48" customWidth="1"/>
    <col min="1773" max="1773" width="6.7109375" style="48" customWidth="1"/>
    <col min="1774" max="1774" width="7.5703125" style="48" customWidth="1"/>
    <col min="1775" max="1775" width="8" style="48" customWidth="1"/>
    <col min="1776" max="2010" width="11.42578125" style="48"/>
    <col min="2011" max="2011" width="4" style="48" customWidth="1"/>
    <col min="2012" max="2012" width="22.7109375" style="48" customWidth="1"/>
    <col min="2013" max="2013" width="1" style="48" customWidth="1"/>
    <col min="2014" max="2014" width="10.7109375" style="48" customWidth="1"/>
    <col min="2015" max="2015" width="0.85546875" style="48" customWidth="1"/>
    <col min="2016" max="2016" width="16.140625" style="48" customWidth="1"/>
    <col min="2017" max="2017" width="21.28515625" style="48" customWidth="1"/>
    <col min="2018" max="2018" width="0.85546875" style="48" customWidth="1"/>
    <col min="2019" max="2020" width="14.7109375" style="48" customWidth="1"/>
    <col min="2021" max="2021" width="0.85546875" style="48" customWidth="1"/>
    <col min="2022" max="2023" width="16.7109375" style="48" customWidth="1"/>
    <col min="2024" max="2024" width="0.85546875" style="48" customWidth="1"/>
    <col min="2025" max="2025" width="14.7109375" style="48" customWidth="1"/>
    <col min="2026" max="2026" width="0.85546875" style="48" customWidth="1"/>
    <col min="2027" max="2027" width="6.7109375" style="48" customWidth="1"/>
    <col min="2028" max="2028" width="9.42578125" style="48" customWidth="1"/>
    <col min="2029" max="2029" width="6.7109375" style="48" customWidth="1"/>
    <col min="2030" max="2030" width="7.5703125" style="48" customWidth="1"/>
    <col min="2031" max="2031" width="8" style="48" customWidth="1"/>
    <col min="2032" max="2266" width="11.42578125" style="48"/>
    <col min="2267" max="2267" width="4" style="48" customWidth="1"/>
    <col min="2268" max="2268" width="22.7109375" style="48" customWidth="1"/>
    <col min="2269" max="2269" width="1" style="48" customWidth="1"/>
    <col min="2270" max="2270" width="10.7109375" style="48" customWidth="1"/>
    <col min="2271" max="2271" width="0.85546875" style="48" customWidth="1"/>
    <col min="2272" max="2272" width="16.140625" style="48" customWidth="1"/>
    <col min="2273" max="2273" width="21.28515625" style="48" customWidth="1"/>
    <col min="2274" max="2274" width="0.85546875" style="48" customWidth="1"/>
    <col min="2275" max="2276" width="14.7109375" style="48" customWidth="1"/>
    <col min="2277" max="2277" width="0.85546875" style="48" customWidth="1"/>
    <col min="2278" max="2279" width="16.7109375" style="48" customWidth="1"/>
    <col min="2280" max="2280" width="0.85546875" style="48" customWidth="1"/>
    <col min="2281" max="2281" width="14.7109375" style="48" customWidth="1"/>
    <col min="2282" max="2282" width="0.85546875" style="48" customWidth="1"/>
    <col min="2283" max="2283" width="6.7109375" style="48" customWidth="1"/>
    <col min="2284" max="2284" width="9.42578125" style="48" customWidth="1"/>
    <col min="2285" max="2285" width="6.7109375" style="48" customWidth="1"/>
    <col min="2286" max="2286" width="7.5703125" style="48" customWidth="1"/>
    <col min="2287" max="2287" width="8" style="48" customWidth="1"/>
    <col min="2288" max="2522" width="11.42578125" style="48"/>
    <col min="2523" max="2523" width="4" style="48" customWidth="1"/>
    <col min="2524" max="2524" width="22.7109375" style="48" customWidth="1"/>
    <col min="2525" max="2525" width="1" style="48" customWidth="1"/>
    <col min="2526" max="2526" width="10.7109375" style="48" customWidth="1"/>
    <col min="2527" max="2527" width="0.85546875" style="48" customWidth="1"/>
    <col min="2528" max="2528" width="16.140625" style="48" customWidth="1"/>
    <col min="2529" max="2529" width="21.28515625" style="48" customWidth="1"/>
    <col min="2530" max="2530" width="0.85546875" style="48" customWidth="1"/>
    <col min="2531" max="2532" width="14.7109375" style="48" customWidth="1"/>
    <col min="2533" max="2533" width="0.85546875" style="48" customWidth="1"/>
    <col min="2534" max="2535" width="16.7109375" style="48" customWidth="1"/>
    <col min="2536" max="2536" width="0.85546875" style="48" customWidth="1"/>
    <col min="2537" max="2537" width="14.7109375" style="48" customWidth="1"/>
    <col min="2538" max="2538" width="0.85546875" style="48" customWidth="1"/>
    <col min="2539" max="2539" width="6.7109375" style="48" customWidth="1"/>
    <col min="2540" max="2540" width="9.42578125" style="48" customWidth="1"/>
    <col min="2541" max="2541" width="6.7109375" style="48" customWidth="1"/>
    <col min="2542" max="2542" width="7.5703125" style="48" customWidth="1"/>
    <col min="2543" max="2543" width="8" style="48" customWidth="1"/>
    <col min="2544" max="2778" width="11.42578125" style="48"/>
    <col min="2779" max="2779" width="4" style="48" customWidth="1"/>
    <col min="2780" max="2780" width="22.7109375" style="48" customWidth="1"/>
    <col min="2781" max="2781" width="1" style="48" customWidth="1"/>
    <col min="2782" max="2782" width="10.7109375" style="48" customWidth="1"/>
    <col min="2783" max="2783" width="0.85546875" style="48" customWidth="1"/>
    <col min="2784" max="2784" width="16.140625" style="48" customWidth="1"/>
    <col min="2785" max="2785" width="21.28515625" style="48" customWidth="1"/>
    <col min="2786" max="2786" width="0.85546875" style="48" customWidth="1"/>
    <col min="2787" max="2788" width="14.7109375" style="48" customWidth="1"/>
    <col min="2789" max="2789" width="0.85546875" style="48" customWidth="1"/>
    <col min="2790" max="2791" width="16.7109375" style="48" customWidth="1"/>
    <col min="2792" max="2792" width="0.85546875" style="48" customWidth="1"/>
    <col min="2793" max="2793" width="14.7109375" style="48" customWidth="1"/>
    <col min="2794" max="2794" width="0.85546875" style="48" customWidth="1"/>
    <col min="2795" max="2795" width="6.7109375" style="48" customWidth="1"/>
    <col min="2796" max="2796" width="9.42578125" style="48" customWidth="1"/>
    <col min="2797" max="2797" width="6.7109375" style="48" customWidth="1"/>
    <col min="2798" max="2798" width="7.5703125" style="48" customWidth="1"/>
    <col min="2799" max="2799" width="8" style="48" customWidth="1"/>
    <col min="2800" max="3034" width="11.42578125" style="48"/>
    <col min="3035" max="3035" width="4" style="48" customWidth="1"/>
    <col min="3036" max="3036" width="22.7109375" style="48" customWidth="1"/>
    <col min="3037" max="3037" width="1" style="48" customWidth="1"/>
    <col min="3038" max="3038" width="10.7109375" style="48" customWidth="1"/>
    <col min="3039" max="3039" width="0.85546875" style="48" customWidth="1"/>
    <col min="3040" max="3040" width="16.140625" style="48" customWidth="1"/>
    <col min="3041" max="3041" width="21.28515625" style="48" customWidth="1"/>
    <col min="3042" max="3042" width="0.85546875" style="48" customWidth="1"/>
    <col min="3043" max="3044" width="14.7109375" style="48" customWidth="1"/>
    <col min="3045" max="3045" width="0.85546875" style="48" customWidth="1"/>
    <col min="3046" max="3047" width="16.7109375" style="48" customWidth="1"/>
    <col min="3048" max="3048" width="0.85546875" style="48" customWidth="1"/>
    <col min="3049" max="3049" width="14.7109375" style="48" customWidth="1"/>
    <col min="3050" max="3050" width="0.85546875" style="48" customWidth="1"/>
    <col min="3051" max="3051" width="6.7109375" style="48" customWidth="1"/>
    <col min="3052" max="3052" width="9.42578125" style="48" customWidth="1"/>
    <col min="3053" max="3053" width="6.7109375" style="48" customWidth="1"/>
    <col min="3054" max="3054" width="7.5703125" style="48" customWidth="1"/>
    <col min="3055" max="3055" width="8" style="48" customWidth="1"/>
    <col min="3056" max="3290" width="11.42578125" style="48"/>
    <col min="3291" max="3291" width="4" style="48" customWidth="1"/>
    <col min="3292" max="3292" width="22.7109375" style="48" customWidth="1"/>
    <col min="3293" max="3293" width="1" style="48" customWidth="1"/>
    <col min="3294" max="3294" width="10.7109375" style="48" customWidth="1"/>
    <col min="3295" max="3295" width="0.85546875" style="48" customWidth="1"/>
    <col min="3296" max="3296" width="16.140625" style="48" customWidth="1"/>
    <col min="3297" max="3297" width="21.28515625" style="48" customWidth="1"/>
    <col min="3298" max="3298" width="0.85546875" style="48" customWidth="1"/>
    <col min="3299" max="3300" width="14.7109375" style="48" customWidth="1"/>
    <col min="3301" max="3301" width="0.85546875" style="48" customWidth="1"/>
    <col min="3302" max="3303" width="16.7109375" style="48" customWidth="1"/>
    <col min="3304" max="3304" width="0.85546875" style="48" customWidth="1"/>
    <col min="3305" max="3305" width="14.7109375" style="48" customWidth="1"/>
    <col min="3306" max="3306" width="0.85546875" style="48" customWidth="1"/>
    <col min="3307" max="3307" width="6.7109375" style="48" customWidth="1"/>
    <col min="3308" max="3308" width="9.42578125" style="48" customWidth="1"/>
    <col min="3309" max="3309" width="6.7109375" style="48" customWidth="1"/>
    <col min="3310" max="3310" width="7.5703125" style="48" customWidth="1"/>
    <col min="3311" max="3311" width="8" style="48" customWidth="1"/>
    <col min="3312" max="3546" width="11.42578125" style="48"/>
    <col min="3547" max="3547" width="4" style="48" customWidth="1"/>
    <col min="3548" max="3548" width="22.7109375" style="48" customWidth="1"/>
    <col min="3549" max="3549" width="1" style="48" customWidth="1"/>
    <col min="3550" max="3550" width="10.7109375" style="48" customWidth="1"/>
    <col min="3551" max="3551" width="0.85546875" style="48" customWidth="1"/>
    <col min="3552" max="3552" width="16.140625" style="48" customWidth="1"/>
    <col min="3553" max="3553" width="21.28515625" style="48" customWidth="1"/>
    <col min="3554" max="3554" width="0.85546875" style="48" customWidth="1"/>
    <col min="3555" max="3556" width="14.7109375" style="48" customWidth="1"/>
    <col min="3557" max="3557" width="0.85546875" style="48" customWidth="1"/>
    <col min="3558" max="3559" width="16.7109375" style="48" customWidth="1"/>
    <col min="3560" max="3560" width="0.85546875" style="48" customWidth="1"/>
    <col min="3561" max="3561" width="14.7109375" style="48" customWidth="1"/>
    <col min="3562" max="3562" width="0.85546875" style="48" customWidth="1"/>
    <col min="3563" max="3563" width="6.7109375" style="48" customWidth="1"/>
    <col min="3564" max="3564" width="9.42578125" style="48" customWidth="1"/>
    <col min="3565" max="3565" width="6.7109375" style="48" customWidth="1"/>
    <col min="3566" max="3566" width="7.5703125" style="48" customWidth="1"/>
    <col min="3567" max="3567" width="8" style="48" customWidth="1"/>
    <col min="3568" max="3802" width="11.42578125" style="48"/>
    <col min="3803" max="3803" width="4" style="48" customWidth="1"/>
    <col min="3804" max="3804" width="22.7109375" style="48" customWidth="1"/>
    <col min="3805" max="3805" width="1" style="48" customWidth="1"/>
    <col min="3806" max="3806" width="10.7109375" style="48" customWidth="1"/>
    <col min="3807" max="3807" width="0.85546875" style="48" customWidth="1"/>
    <col min="3808" max="3808" width="16.140625" style="48" customWidth="1"/>
    <col min="3809" max="3809" width="21.28515625" style="48" customWidth="1"/>
    <col min="3810" max="3810" width="0.85546875" style="48" customWidth="1"/>
    <col min="3811" max="3812" width="14.7109375" style="48" customWidth="1"/>
    <col min="3813" max="3813" width="0.85546875" style="48" customWidth="1"/>
    <col min="3814" max="3815" width="16.7109375" style="48" customWidth="1"/>
    <col min="3816" max="3816" width="0.85546875" style="48" customWidth="1"/>
    <col min="3817" max="3817" width="14.7109375" style="48" customWidth="1"/>
    <col min="3818" max="3818" width="0.85546875" style="48" customWidth="1"/>
    <col min="3819" max="3819" width="6.7109375" style="48" customWidth="1"/>
    <col min="3820" max="3820" width="9.42578125" style="48" customWidth="1"/>
    <col min="3821" max="3821" width="6.7109375" style="48" customWidth="1"/>
    <col min="3822" max="3822" width="7.5703125" style="48" customWidth="1"/>
    <col min="3823" max="3823" width="8" style="48" customWidth="1"/>
    <col min="3824" max="4058" width="11.42578125" style="48"/>
    <col min="4059" max="4059" width="4" style="48" customWidth="1"/>
    <col min="4060" max="4060" width="22.7109375" style="48" customWidth="1"/>
    <col min="4061" max="4061" width="1" style="48" customWidth="1"/>
    <col min="4062" max="4062" width="10.7109375" style="48" customWidth="1"/>
    <col min="4063" max="4063" width="0.85546875" style="48" customWidth="1"/>
    <col min="4064" max="4064" width="16.140625" style="48" customWidth="1"/>
    <col min="4065" max="4065" width="21.28515625" style="48" customWidth="1"/>
    <col min="4066" max="4066" width="0.85546875" style="48" customWidth="1"/>
    <col min="4067" max="4068" width="14.7109375" style="48" customWidth="1"/>
    <col min="4069" max="4069" width="0.85546875" style="48" customWidth="1"/>
    <col min="4070" max="4071" width="16.7109375" style="48" customWidth="1"/>
    <col min="4072" max="4072" width="0.85546875" style="48" customWidth="1"/>
    <col min="4073" max="4073" width="14.7109375" style="48" customWidth="1"/>
    <col min="4074" max="4074" width="0.85546875" style="48" customWidth="1"/>
    <col min="4075" max="4075" width="6.7109375" style="48" customWidth="1"/>
    <col min="4076" max="4076" width="9.42578125" style="48" customWidth="1"/>
    <col min="4077" max="4077" width="6.7109375" style="48" customWidth="1"/>
    <col min="4078" max="4078" width="7.5703125" style="48" customWidth="1"/>
    <col min="4079" max="4079" width="8" style="48" customWidth="1"/>
    <col min="4080" max="4314" width="11.42578125" style="48"/>
    <col min="4315" max="4315" width="4" style="48" customWidth="1"/>
    <col min="4316" max="4316" width="22.7109375" style="48" customWidth="1"/>
    <col min="4317" max="4317" width="1" style="48" customWidth="1"/>
    <col min="4318" max="4318" width="10.7109375" style="48" customWidth="1"/>
    <col min="4319" max="4319" width="0.85546875" style="48" customWidth="1"/>
    <col min="4320" max="4320" width="16.140625" style="48" customWidth="1"/>
    <col min="4321" max="4321" width="21.28515625" style="48" customWidth="1"/>
    <col min="4322" max="4322" width="0.85546875" style="48" customWidth="1"/>
    <col min="4323" max="4324" width="14.7109375" style="48" customWidth="1"/>
    <col min="4325" max="4325" width="0.85546875" style="48" customWidth="1"/>
    <col min="4326" max="4327" width="16.7109375" style="48" customWidth="1"/>
    <col min="4328" max="4328" width="0.85546875" style="48" customWidth="1"/>
    <col min="4329" max="4329" width="14.7109375" style="48" customWidth="1"/>
    <col min="4330" max="4330" width="0.85546875" style="48" customWidth="1"/>
    <col min="4331" max="4331" width="6.7109375" style="48" customWidth="1"/>
    <col min="4332" max="4332" width="9.42578125" style="48" customWidth="1"/>
    <col min="4333" max="4333" width="6.7109375" style="48" customWidth="1"/>
    <col min="4334" max="4334" width="7.5703125" style="48" customWidth="1"/>
    <col min="4335" max="4335" width="8" style="48" customWidth="1"/>
    <col min="4336" max="4570" width="11.42578125" style="48"/>
    <col min="4571" max="4571" width="4" style="48" customWidth="1"/>
    <col min="4572" max="4572" width="22.7109375" style="48" customWidth="1"/>
    <col min="4573" max="4573" width="1" style="48" customWidth="1"/>
    <col min="4574" max="4574" width="10.7109375" style="48" customWidth="1"/>
    <col min="4575" max="4575" width="0.85546875" style="48" customWidth="1"/>
    <col min="4576" max="4576" width="16.140625" style="48" customWidth="1"/>
    <col min="4577" max="4577" width="21.28515625" style="48" customWidth="1"/>
    <col min="4578" max="4578" width="0.85546875" style="48" customWidth="1"/>
    <col min="4579" max="4580" width="14.7109375" style="48" customWidth="1"/>
    <col min="4581" max="4581" width="0.85546875" style="48" customWidth="1"/>
    <col min="4582" max="4583" width="16.7109375" style="48" customWidth="1"/>
    <col min="4584" max="4584" width="0.85546875" style="48" customWidth="1"/>
    <col min="4585" max="4585" width="14.7109375" style="48" customWidth="1"/>
    <col min="4586" max="4586" width="0.85546875" style="48" customWidth="1"/>
    <col min="4587" max="4587" width="6.7109375" style="48" customWidth="1"/>
    <col min="4588" max="4588" width="9.42578125" style="48" customWidth="1"/>
    <col min="4589" max="4589" width="6.7109375" style="48" customWidth="1"/>
    <col min="4590" max="4590" width="7.5703125" style="48" customWidth="1"/>
    <col min="4591" max="4591" width="8" style="48" customWidth="1"/>
    <col min="4592" max="4826" width="11.42578125" style="48"/>
    <col min="4827" max="4827" width="4" style="48" customWidth="1"/>
    <col min="4828" max="4828" width="22.7109375" style="48" customWidth="1"/>
    <col min="4829" max="4829" width="1" style="48" customWidth="1"/>
    <col min="4830" max="4830" width="10.7109375" style="48" customWidth="1"/>
    <col min="4831" max="4831" width="0.85546875" style="48" customWidth="1"/>
    <col min="4832" max="4832" width="16.140625" style="48" customWidth="1"/>
    <col min="4833" max="4833" width="21.28515625" style="48" customWidth="1"/>
    <col min="4834" max="4834" width="0.85546875" style="48" customWidth="1"/>
    <col min="4835" max="4836" width="14.7109375" style="48" customWidth="1"/>
    <col min="4837" max="4837" width="0.85546875" style="48" customWidth="1"/>
    <col min="4838" max="4839" width="16.7109375" style="48" customWidth="1"/>
    <col min="4840" max="4840" width="0.85546875" style="48" customWidth="1"/>
    <col min="4841" max="4841" width="14.7109375" style="48" customWidth="1"/>
    <col min="4842" max="4842" width="0.85546875" style="48" customWidth="1"/>
    <col min="4843" max="4843" width="6.7109375" style="48" customWidth="1"/>
    <col min="4844" max="4844" width="9.42578125" style="48" customWidth="1"/>
    <col min="4845" max="4845" width="6.7109375" style="48" customWidth="1"/>
    <col min="4846" max="4846" width="7.5703125" style="48" customWidth="1"/>
    <col min="4847" max="4847" width="8" style="48" customWidth="1"/>
    <col min="4848" max="5082" width="11.42578125" style="48"/>
    <col min="5083" max="5083" width="4" style="48" customWidth="1"/>
    <col min="5084" max="5084" width="22.7109375" style="48" customWidth="1"/>
    <col min="5085" max="5085" width="1" style="48" customWidth="1"/>
    <col min="5086" max="5086" width="10.7109375" style="48" customWidth="1"/>
    <col min="5087" max="5087" width="0.85546875" style="48" customWidth="1"/>
    <col min="5088" max="5088" width="16.140625" style="48" customWidth="1"/>
    <col min="5089" max="5089" width="21.28515625" style="48" customWidth="1"/>
    <col min="5090" max="5090" width="0.85546875" style="48" customWidth="1"/>
    <col min="5091" max="5092" width="14.7109375" style="48" customWidth="1"/>
    <col min="5093" max="5093" width="0.85546875" style="48" customWidth="1"/>
    <col min="5094" max="5095" width="16.7109375" style="48" customWidth="1"/>
    <col min="5096" max="5096" width="0.85546875" style="48" customWidth="1"/>
    <col min="5097" max="5097" width="14.7109375" style="48" customWidth="1"/>
    <col min="5098" max="5098" width="0.85546875" style="48" customWidth="1"/>
    <col min="5099" max="5099" width="6.7109375" style="48" customWidth="1"/>
    <col min="5100" max="5100" width="9.42578125" style="48" customWidth="1"/>
    <col min="5101" max="5101" width="6.7109375" style="48" customWidth="1"/>
    <col min="5102" max="5102" width="7.5703125" style="48" customWidth="1"/>
    <col min="5103" max="5103" width="8" style="48" customWidth="1"/>
    <col min="5104" max="5338" width="11.42578125" style="48"/>
    <col min="5339" max="5339" width="4" style="48" customWidth="1"/>
    <col min="5340" max="5340" width="22.7109375" style="48" customWidth="1"/>
    <col min="5341" max="5341" width="1" style="48" customWidth="1"/>
    <col min="5342" max="5342" width="10.7109375" style="48" customWidth="1"/>
    <col min="5343" max="5343" width="0.85546875" style="48" customWidth="1"/>
    <col min="5344" max="5344" width="16.140625" style="48" customWidth="1"/>
    <col min="5345" max="5345" width="21.28515625" style="48" customWidth="1"/>
    <col min="5346" max="5346" width="0.85546875" style="48" customWidth="1"/>
    <col min="5347" max="5348" width="14.7109375" style="48" customWidth="1"/>
    <col min="5349" max="5349" width="0.85546875" style="48" customWidth="1"/>
    <col min="5350" max="5351" width="16.7109375" style="48" customWidth="1"/>
    <col min="5352" max="5352" width="0.85546875" style="48" customWidth="1"/>
    <col min="5353" max="5353" width="14.7109375" style="48" customWidth="1"/>
    <col min="5354" max="5354" width="0.85546875" style="48" customWidth="1"/>
    <col min="5355" max="5355" width="6.7109375" style="48" customWidth="1"/>
    <col min="5356" max="5356" width="9.42578125" style="48" customWidth="1"/>
    <col min="5357" max="5357" width="6.7109375" style="48" customWidth="1"/>
    <col min="5358" max="5358" width="7.5703125" style="48" customWidth="1"/>
    <col min="5359" max="5359" width="8" style="48" customWidth="1"/>
    <col min="5360" max="5594" width="11.42578125" style="48"/>
    <col min="5595" max="5595" width="4" style="48" customWidth="1"/>
    <col min="5596" max="5596" width="22.7109375" style="48" customWidth="1"/>
    <col min="5597" max="5597" width="1" style="48" customWidth="1"/>
    <col min="5598" max="5598" width="10.7109375" style="48" customWidth="1"/>
    <col min="5599" max="5599" width="0.85546875" style="48" customWidth="1"/>
    <col min="5600" max="5600" width="16.140625" style="48" customWidth="1"/>
    <col min="5601" max="5601" width="21.28515625" style="48" customWidth="1"/>
    <col min="5602" max="5602" width="0.85546875" style="48" customWidth="1"/>
    <col min="5603" max="5604" width="14.7109375" style="48" customWidth="1"/>
    <col min="5605" max="5605" width="0.85546875" style="48" customWidth="1"/>
    <col min="5606" max="5607" width="16.7109375" style="48" customWidth="1"/>
    <col min="5608" max="5608" width="0.85546875" style="48" customWidth="1"/>
    <col min="5609" max="5609" width="14.7109375" style="48" customWidth="1"/>
    <col min="5610" max="5610" width="0.85546875" style="48" customWidth="1"/>
    <col min="5611" max="5611" width="6.7109375" style="48" customWidth="1"/>
    <col min="5612" max="5612" width="9.42578125" style="48" customWidth="1"/>
    <col min="5613" max="5613" width="6.7109375" style="48" customWidth="1"/>
    <col min="5614" max="5614" width="7.5703125" style="48" customWidth="1"/>
    <col min="5615" max="5615" width="8" style="48" customWidth="1"/>
    <col min="5616" max="5850" width="11.42578125" style="48"/>
    <col min="5851" max="5851" width="4" style="48" customWidth="1"/>
    <col min="5852" max="5852" width="22.7109375" style="48" customWidth="1"/>
    <col min="5853" max="5853" width="1" style="48" customWidth="1"/>
    <col min="5854" max="5854" width="10.7109375" style="48" customWidth="1"/>
    <col min="5855" max="5855" width="0.85546875" style="48" customWidth="1"/>
    <col min="5856" max="5856" width="16.140625" style="48" customWidth="1"/>
    <col min="5857" max="5857" width="21.28515625" style="48" customWidth="1"/>
    <col min="5858" max="5858" width="0.85546875" style="48" customWidth="1"/>
    <col min="5859" max="5860" width="14.7109375" style="48" customWidth="1"/>
    <col min="5861" max="5861" width="0.85546875" style="48" customWidth="1"/>
    <col min="5862" max="5863" width="16.7109375" style="48" customWidth="1"/>
    <col min="5864" max="5864" width="0.85546875" style="48" customWidth="1"/>
    <col min="5865" max="5865" width="14.7109375" style="48" customWidth="1"/>
    <col min="5866" max="5866" width="0.85546875" style="48" customWidth="1"/>
    <col min="5867" max="5867" width="6.7109375" style="48" customWidth="1"/>
    <col min="5868" max="5868" width="9.42578125" style="48" customWidth="1"/>
    <col min="5869" max="5869" width="6.7109375" style="48" customWidth="1"/>
    <col min="5870" max="5870" width="7.5703125" style="48" customWidth="1"/>
    <col min="5871" max="5871" width="8" style="48" customWidth="1"/>
    <col min="5872" max="6106" width="11.42578125" style="48"/>
    <col min="6107" max="6107" width="4" style="48" customWidth="1"/>
    <col min="6108" max="6108" width="22.7109375" style="48" customWidth="1"/>
    <col min="6109" max="6109" width="1" style="48" customWidth="1"/>
    <col min="6110" max="6110" width="10.7109375" style="48" customWidth="1"/>
    <col min="6111" max="6111" width="0.85546875" style="48" customWidth="1"/>
    <col min="6112" max="6112" width="16.140625" style="48" customWidth="1"/>
    <col min="6113" max="6113" width="21.28515625" style="48" customWidth="1"/>
    <col min="6114" max="6114" width="0.85546875" style="48" customWidth="1"/>
    <col min="6115" max="6116" width="14.7109375" style="48" customWidth="1"/>
    <col min="6117" max="6117" width="0.85546875" style="48" customWidth="1"/>
    <col min="6118" max="6119" width="16.7109375" style="48" customWidth="1"/>
    <col min="6120" max="6120" width="0.85546875" style="48" customWidth="1"/>
    <col min="6121" max="6121" width="14.7109375" style="48" customWidth="1"/>
    <col min="6122" max="6122" width="0.85546875" style="48" customWidth="1"/>
    <col min="6123" max="6123" width="6.7109375" style="48" customWidth="1"/>
    <col min="6124" max="6124" width="9.42578125" style="48" customWidth="1"/>
    <col min="6125" max="6125" width="6.7109375" style="48" customWidth="1"/>
    <col min="6126" max="6126" width="7.5703125" style="48" customWidth="1"/>
    <col min="6127" max="6127" width="8" style="48" customWidth="1"/>
    <col min="6128" max="6362" width="11.42578125" style="48"/>
    <col min="6363" max="6363" width="4" style="48" customWidth="1"/>
    <col min="6364" max="6364" width="22.7109375" style="48" customWidth="1"/>
    <col min="6365" max="6365" width="1" style="48" customWidth="1"/>
    <col min="6366" max="6366" width="10.7109375" style="48" customWidth="1"/>
    <col min="6367" max="6367" width="0.85546875" style="48" customWidth="1"/>
    <col min="6368" max="6368" width="16.140625" style="48" customWidth="1"/>
    <col min="6369" max="6369" width="21.28515625" style="48" customWidth="1"/>
    <col min="6370" max="6370" width="0.85546875" style="48" customWidth="1"/>
    <col min="6371" max="6372" width="14.7109375" style="48" customWidth="1"/>
    <col min="6373" max="6373" width="0.85546875" style="48" customWidth="1"/>
    <col min="6374" max="6375" width="16.7109375" style="48" customWidth="1"/>
    <col min="6376" max="6376" width="0.85546875" style="48" customWidth="1"/>
    <col min="6377" max="6377" width="14.7109375" style="48" customWidth="1"/>
    <col min="6378" max="6378" width="0.85546875" style="48" customWidth="1"/>
    <col min="6379" max="6379" width="6.7109375" style="48" customWidth="1"/>
    <col min="6380" max="6380" width="9.42578125" style="48" customWidth="1"/>
    <col min="6381" max="6381" width="6.7109375" style="48" customWidth="1"/>
    <col min="6382" max="6382" width="7.5703125" style="48" customWidth="1"/>
    <col min="6383" max="6383" width="8" style="48" customWidth="1"/>
    <col min="6384" max="6618" width="11.42578125" style="48"/>
    <col min="6619" max="6619" width="4" style="48" customWidth="1"/>
    <col min="6620" max="6620" width="22.7109375" style="48" customWidth="1"/>
    <col min="6621" max="6621" width="1" style="48" customWidth="1"/>
    <col min="6622" max="6622" width="10.7109375" style="48" customWidth="1"/>
    <col min="6623" max="6623" width="0.85546875" style="48" customWidth="1"/>
    <col min="6624" max="6624" width="16.140625" style="48" customWidth="1"/>
    <col min="6625" max="6625" width="21.28515625" style="48" customWidth="1"/>
    <col min="6626" max="6626" width="0.85546875" style="48" customWidth="1"/>
    <col min="6627" max="6628" width="14.7109375" style="48" customWidth="1"/>
    <col min="6629" max="6629" width="0.85546875" style="48" customWidth="1"/>
    <col min="6630" max="6631" width="16.7109375" style="48" customWidth="1"/>
    <col min="6632" max="6632" width="0.85546875" style="48" customWidth="1"/>
    <col min="6633" max="6633" width="14.7109375" style="48" customWidth="1"/>
    <col min="6634" max="6634" width="0.85546875" style="48" customWidth="1"/>
    <col min="6635" max="6635" width="6.7109375" style="48" customWidth="1"/>
    <col min="6636" max="6636" width="9.42578125" style="48" customWidth="1"/>
    <col min="6637" max="6637" width="6.7109375" style="48" customWidth="1"/>
    <col min="6638" max="6638" width="7.5703125" style="48" customWidth="1"/>
    <col min="6639" max="6639" width="8" style="48" customWidth="1"/>
    <col min="6640" max="6874" width="11.42578125" style="48"/>
    <col min="6875" max="6875" width="4" style="48" customWidth="1"/>
    <col min="6876" max="6876" width="22.7109375" style="48" customWidth="1"/>
    <col min="6877" max="6877" width="1" style="48" customWidth="1"/>
    <col min="6878" max="6878" width="10.7109375" style="48" customWidth="1"/>
    <col min="6879" max="6879" width="0.85546875" style="48" customWidth="1"/>
    <col min="6880" max="6880" width="16.140625" style="48" customWidth="1"/>
    <col min="6881" max="6881" width="21.28515625" style="48" customWidth="1"/>
    <col min="6882" max="6882" width="0.85546875" style="48" customWidth="1"/>
    <col min="6883" max="6884" width="14.7109375" style="48" customWidth="1"/>
    <col min="6885" max="6885" width="0.85546875" style="48" customWidth="1"/>
    <col min="6886" max="6887" width="16.7109375" style="48" customWidth="1"/>
    <col min="6888" max="6888" width="0.85546875" style="48" customWidth="1"/>
    <col min="6889" max="6889" width="14.7109375" style="48" customWidth="1"/>
    <col min="6890" max="6890" width="0.85546875" style="48" customWidth="1"/>
    <col min="6891" max="6891" width="6.7109375" style="48" customWidth="1"/>
    <col min="6892" max="6892" width="9.42578125" style="48" customWidth="1"/>
    <col min="6893" max="6893" width="6.7109375" style="48" customWidth="1"/>
    <col min="6894" max="6894" width="7.5703125" style="48" customWidth="1"/>
    <col min="6895" max="6895" width="8" style="48" customWidth="1"/>
    <col min="6896" max="7130" width="11.42578125" style="48"/>
    <col min="7131" max="7131" width="4" style="48" customWidth="1"/>
    <col min="7132" max="7132" width="22.7109375" style="48" customWidth="1"/>
    <col min="7133" max="7133" width="1" style="48" customWidth="1"/>
    <col min="7134" max="7134" width="10.7109375" style="48" customWidth="1"/>
    <col min="7135" max="7135" width="0.85546875" style="48" customWidth="1"/>
    <col min="7136" max="7136" width="16.140625" style="48" customWidth="1"/>
    <col min="7137" max="7137" width="21.28515625" style="48" customWidth="1"/>
    <col min="7138" max="7138" width="0.85546875" style="48" customWidth="1"/>
    <col min="7139" max="7140" width="14.7109375" style="48" customWidth="1"/>
    <col min="7141" max="7141" width="0.85546875" style="48" customWidth="1"/>
    <col min="7142" max="7143" width="16.7109375" style="48" customWidth="1"/>
    <col min="7144" max="7144" width="0.85546875" style="48" customWidth="1"/>
    <col min="7145" max="7145" width="14.7109375" style="48" customWidth="1"/>
    <col min="7146" max="7146" width="0.85546875" style="48" customWidth="1"/>
    <col min="7147" max="7147" width="6.7109375" style="48" customWidth="1"/>
    <col min="7148" max="7148" width="9.42578125" style="48" customWidth="1"/>
    <col min="7149" max="7149" width="6.7109375" style="48" customWidth="1"/>
    <col min="7150" max="7150" width="7.5703125" style="48" customWidth="1"/>
    <col min="7151" max="7151" width="8" style="48" customWidth="1"/>
    <col min="7152" max="7386" width="11.42578125" style="48"/>
    <col min="7387" max="7387" width="4" style="48" customWidth="1"/>
    <col min="7388" max="7388" width="22.7109375" style="48" customWidth="1"/>
    <col min="7389" max="7389" width="1" style="48" customWidth="1"/>
    <col min="7390" max="7390" width="10.7109375" style="48" customWidth="1"/>
    <col min="7391" max="7391" width="0.85546875" style="48" customWidth="1"/>
    <col min="7392" max="7392" width="16.140625" style="48" customWidth="1"/>
    <col min="7393" max="7393" width="21.28515625" style="48" customWidth="1"/>
    <col min="7394" max="7394" width="0.85546875" style="48" customWidth="1"/>
    <col min="7395" max="7396" width="14.7109375" style="48" customWidth="1"/>
    <col min="7397" max="7397" width="0.85546875" style="48" customWidth="1"/>
    <col min="7398" max="7399" width="16.7109375" style="48" customWidth="1"/>
    <col min="7400" max="7400" width="0.85546875" style="48" customWidth="1"/>
    <col min="7401" max="7401" width="14.7109375" style="48" customWidth="1"/>
    <col min="7402" max="7402" width="0.85546875" style="48" customWidth="1"/>
    <col min="7403" max="7403" width="6.7109375" style="48" customWidth="1"/>
    <col min="7404" max="7404" width="9.42578125" style="48" customWidth="1"/>
    <col min="7405" max="7405" width="6.7109375" style="48" customWidth="1"/>
    <col min="7406" max="7406" width="7.5703125" style="48" customWidth="1"/>
    <col min="7407" max="7407" width="8" style="48" customWidth="1"/>
    <col min="7408" max="7642" width="11.42578125" style="48"/>
    <col min="7643" max="7643" width="4" style="48" customWidth="1"/>
    <col min="7644" max="7644" width="22.7109375" style="48" customWidth="1"/>
    <col min="7645" max="7645" width="1" style="48" customWidth="1"/>
    <col min="7646" max="7646" width="10.7109375" style="48" customWidth="1"/>
    <col min="7647" max="7647" width="0.85546875" style="48" customWidth="1"/>
    <col min="7648" max="7648" width="16.140625" style="48" customWidth="1"/>
    <col min="7649" max="7649" width="21.28515625" style="48" customWidth="1"/>
    <col min="7650" max="7650" width="0.85546875" style="48" customWidth="1"/>
    <col min="7651" max="7652" width="14.7109375" style="48" customWidth="1"/>
    <col min="7653" max="7653" width="0.85546875" style="48" customWidth="1"/>
    <col min="7654" max="7655" width="16.7109375" style="48" customWidth="1"/>
    <col min="7656" max="7656" width="0.85546875" style="48" customWidth="1"/>
    <col min="7657" max="7657" width="14.7109375" style="48" customWidth="1"/>
    <col min="7658" max="7658" width="0.85546875" style="48" customWidth="1"/>
    <col min="7659" max="7659" width="6.7109375" style="48" customWidth="1"/>
    <col min="7660" max="7660" width="9.42578125" style="48" customWidth="1"/>
    <col min="7661" max="7661" width="6.7109375" style="48" customWidth="1"/>
    <col min="7662" max="7662" width="7.5703125" style="48" customWidth="1"/>
    <col min="7663" max="7663" width="8" style="48" customWidth="1"/>
    <col min="7664" max="7898" width="11.42578125" style="48"/>
    <col min="7899" max="7899" width="4" style="48" customWidth="1"/>
    <col min="7900" max="7900" width="22.7109375" style="48" customWidth="1"/>
    <col min="7901" max="7901" width="1" style="48" customWidth="1"/>
    <col min="7902" max="7902" width="10.7109375" style="48" customWidth="1"/>
    <col min="7903" max="7903" width="0.85546875" style="48" customWidth="1"/>
    <col min="7904" max="7904" width="16.140625" style="48" customWidth="1"/>
    <col min="7905" max="7905" width="21.28515625" style="48" customWidth="1"/>
    <col min="7906" max="7906" width="0.85546875" style="48" customWidth="1"/>
    <col min="7907" max="7908" width="14.7109375" style="48" customWidth="1"/>
    <col min="7909" max="7909" width="0.85546875" style="48" customWidth="1"/>
    <col min="7910" max="7911" width="16.7109375" style="48" customWidth="1"/>
    <col min="7912" max="7912" width="0.85546875" style="48" customWidth="1"/>
    <col min="7913" max="7913" width="14.7109375" style="48" customWidth="1"/>
    <col min="7914" max="7914" width="0.85546875" style="48" customWidth="1"/>
    <col min="7915" max="7915" width="6.7109375" style="48" customWidth="1"/>
    <col min="7916" max="7916" width="9.42578125" style="48" customWidth="1"/>
    <col min="7917" max="7917" width="6.7109375" style="48" customWidth="1"/>
    <col min="7918" max="7918" width="7.5703125" style="48" customWidth="1"/>
    <col min="7919" max="7919" width="8" style="48" customWidth="1"/>
    <col min="7920" max="8154" width="11.42578125" style="48"/>
    <col min="8155" max="8155" width="4" style="48" customWidth="1"/>
    <col min="8156" max="8156" width="22.7109375" style="48" customWidth="1"/>
    <col min="8157" max="8157" width="1" style="48" customWidth="1"/>
    <col min="8158" max="8158" width="10.7109375" style="48" customWidth="1"/>
    <col min="8159" max="8159" width="0.85546875" style="48" customWidth="1"/>
    <col min="8160" max="8160" width="16.140625" style="48" customWidth="1"/>
    <col min="8161" max="8161" width="21.28515625" style="48" customWidth="1"/>
    <col min="8162" max="8162" width="0.85546875" style="48" customWidth="1"/>
    <col min="8163" max="8164" width="14.7109375" style="48" customWidth="1"/>
    <col min="8165" max="8165" width="0.85546875" style="48" customWidth="1"/>
    <col min="8166" max="8167" width="16.7109375" style="48" customWidth="1"/>
    <col min="8168" max="8168" width="0.85546875" style="48" customWidth="1"/>
    <col min="8169" max="8169" width="14.7109375" style="48" customWidth="1"/>
    <col min="8170" max="8170" width="0.85546875" style="48" customWidth="1"/>
    <col min="8171" max="8171" width="6.7109375" style="48" customWidth="1"/>
    <col min="8172" max="8172" width="9.42578125" style="48" customWidth="1"/>
    <col min="8173" max="8173" width="6.7109375" style="48" customWidth="1"/>
    <col min="8174" max="8174" width="7.5703125" style="48" customWidth="1"/>
    <col min="8175" max="8175" width="8" style="48" customWidth="1"/>
    <col min="8176" max="8410" width="11.42578125" style="48"/>
    <col min="8411" max="8411" width="4" style="48" customWidth="1"/>
    <col min="8412" max="8412" width="22.7109375" style="48" customWidth="1"/>
    <col min="8413" max="8413" width="1" style="48" customWidth="1"/>
    <col min="8414" max="8414" width="10.7109375" style="48" customWidth="1"/>
    <col min="8415" max="8415" width="0.85546875" style="48" customWidth="1"/>
    <col min="8416" max="8416" width="16.140625" style="48" customWidth="1"/>
    <col min="8417" max="8417" width="21.28515625" style="48" customWidth="1"/>
    <col min="8418" max="8418" width="0.85546875" style="48" customWidth="1"/>
    <col min="8419" max="8420" width="14.7109375" style="48" customWidth="1"/>
    <col min="8421" max="8421" width="0.85546875" style="48" customWidth="1"/>
    <col min="8422" max="8423" width="16.7109375" style="48" customWidth="1"/>
    <col min="8424" max="8424" width="0.85546875" style="48" customWidth="1"/>
    <col min="8425" max="8425" width="14.7109375" style="48" customWidth="1"/>
    <col min="8426" max="8426" width="0.85546875" style="48" customWidth="1"/>
    <col min="8427" max="8427" width="6.7109375" style="48" customWidth="1"/>
    <col min="8428" max="8428" width="9.42578125" style="48" customWidth="1"/>
    <col min="8429" max="8429" width="6.7109375" style="48" customWidth="1"/>
    <col min="8430" max="8430" width="7.5703125" style="48" customWidth="1"/>
    <col min="8431" max="8431" width="8" style="48" customWidth="1"/>
    <col min="8432" max="8666" width="11.42578125" style="48"/>
    <col min="8667" max="8667" width="4" style="48" customWidth="1"/>
    <col min="8668" max="8668" width="22.7109375" style="48" customWidth="1"/>
    <col min="8669" max="8669" width="1" style="48" customWidth="1"/>
    <col min="8670" max="8670" width="10.7109375" style="48" customWidth="1"/>
    <col min="8671" max="8671" width="0.85546875" style="48" customWidth="1"/>
    <col min="8672" max="8672" width="16.140625" style="48" customWidth="1"/>
    <col min="8673" max="8673" width="21.28515625" style="48" customWidth="1"/>
    <col min="8674" max="8674" width="0.85546875" style="48" customWidth="1"/>
    <col min="8675" max="8676" width="14.7109375" style="48" customWidth="1"/>
    <col min="8677" max="8677" width="0.85546875" style="48" customWidth="1"/>
    <col min="8678" max="8679" width="16.7109375" style="48" customWidth="1"/>
    <col min="8680" max="8680" width="0.85546875" style="48" customWidth="1"/>
    <col min="8681" max="8681" width="14.7109375" style="48" customWidth="1"/>
    <col min="8682" max="8682" width="0.85546875" style="48" customWidth="1"/>
    <col min="8683" max="8683" width="6.7109375" style="48" customWidth="1"/>
    <col min="8684" max="8684" width="9.42578125" style="48" customWidth="1"/>
    <col min="8685" max="8685" width="6.7109375" style="48" customWidth="1"/>
    <col min="8686" max="8686" width="7.5703125" style="48" customWidth="1"/>
    <col min="8687" max="8687" width="8" style="48" customWidth="1"/>
    <col min="8688" max="8922" width="11.42578125" style="48"/>
    <col min="8923" max="8923" width="4" style="48" customWidth="1"/>
    <col min="8924" max="8924" width="22.7109375" style="48" customWidth="1"/>
    <col min="8925" max="8925" width="1" style="48" customWidth="1"/>
    <col min="8926" max="8926" width="10.7109375" style="48" customWidth="1"/>
    <col min="8927" max="8927" width="0.85546875" style="48" customWidth="1"/>
    <col min="8928" max="8928" width="16.140625" style="48" customWidth="1"/>
    <col min="8929" max="8929" width="21.28515625" style="48" customWidth="1"/>
    <col min="8930" max="8930" width="0.85546875" style="48" customWidth="1"/>
    <col min="8931" max="8932" width="14.7109375" style="48" customWidth="1"/>
    <col min="8933" max="8933" width="0.85546875" style="48" customWidth="1"/>
    <col min="8934" max="8935" width="16.7109375" style="48" customWidth="1"/>
    <col min="8936" max="8936" width="0.85546875" style="48" customWidth="1"/>
    <col min="8937" max="8937" width="14.7109375" style="48" customWidth="1"/>
    <col min="8938" max="8938" width="0.85546875" style="48" customWidth="1"/>
    <col min="8939" max="8939" width="6.7109375" style="48" customWidth="1"/>
    <col min="8940" max="8940" width="9.42578125" style="48" customWidth="1"/>
    <col min="8941" max="8941" width="6.7109375" style="48" customWidth="1"/>
    <col min="8942" max="8942" width="7.5703125" style="48" customWidth="1"/>
    <col min="8943" max="8943" width="8" style="48" customWidth="1"/>
    <col min="8944" max="9178" width="11.42578125" style="48"/>
    <col min="9179" max="9179" width="4" style="48" customWidth="1"/>
    <col min="9180" max="9180" width="22.7109375" style="48" customWidth="1"/>
    <col min="9181" max="9181" width="1" style="48" customWidth="1"/>
    <col min="9182" max="9182" width="10.7109375" style="48" customWidth="1"/>
    <col min="9183" max="9183" width="0.85546875" style="48" customWidth="1"/>
    <col min="9184" max="9184" width="16.140625" style="48" customWidth="1"/>
    <col min="9185" max="9185" width="21.28515625" style="48" customWidth="1"/>
    <col min="9186" max="9186" width="0.85546875" style="48" customWidth="1"/>
    <col min="9187" max="9188" width="14.7109375" style="48" customWidth="1"/>
    <col min="9189" max="9189" width="0.85546875" style="48" customWidth="1"/>
    <col min="9190" max="9191" width="16.7109375" style="48" customWidth="1"/>
    <col min="9192" max="9192" width="0.85546875" style="48" customWidth="1"/>
    <col min="9193" max="9193" width="14.7109375" style="48" customWidth="1"/>
    <col min="9194" max="9194" width="0.85546875" style="48" customWidth="1"/>
    <col min="9195" max="9195" width="6.7109375" style="48" customWidth="1"/>
    <col min="9196" max="9196" width="9.42578125" style="48" customWidth="1"/>
    <col min="9197" max="9197" width="6.7109375" style="48" customWidth="1"/>
    <col min="9198" max="9198" width="7.5703125" style="48" customWidth="1"/>
    <col min="9199" max="9199" width="8" style="48" customWidth="1"/>
    <col min="9200" max="9434" width="11.42578125" style="48"/>
    <col min="9435" max="9435" width="4" style="48" customWidth="1"/>
    <col min="9436" max="9436" width="22.7109375" style="48" customWidth="1"/>
    <col min="9437" max="9437" width="1" style="48" customWidth="1"/>
    <col min="9438" max="9438" width="10.7109375" style="48" customWidth="1"/>
    <col min="9439" max="9439" width="0.85546875" style="48" customWidth="1"/>
    <col min="9440" max="9440" width="16.140625" style="48" customWidth="1"/>
    <col min="9441" max="9441" width="21.28515625" style="48" customWidth="1"/>
    <col min="9442" max="9442" width="0.85546875" style="48" customWidth="1"/>
    <col min="9443" max="9444" width="14.7109375" style="48" customWidth="1"/>
    <col min="9445" max="9445" width="0.85546875" style="48" customWidth="1"/>
    <col min="9446" max="9447" width="16.7109375" style="48" customWidth="1"/>
    <col min="9448" max="9448" width="0.85546875" style="48" customWidth="1"/>
    <col min="9449" max="9449" width="14.7109375" style="48" customWidth="1"/>
    <col min="9450" max="9450" width="0.85546875" style="48" customWidth="1"/>
    <col min="9451" max="9451" width="6.7109375" style="48" customWidth="1"/>
    <col min="9452" max="9452" width="9.42578125" style="48" customWidth="1"/>
    <col min="9453" max="9453" width="6.7109375" style="48" customWidth="1"/>
    <col min="9454" max="9454" width="7.5703125" style="48" customWidth="1"/>
    <col min="9455" max="9455" width="8" style="48" customWidth="1"/>
    <col min="9456" max="9690" width="11.42578125" style="48"/>
    <col min="9691" max="9691" width="4" style="48" customWidth="1"/>
    <col min="9692" max="9692" width="22.7109375" style="48" customWidth="1"/>
    <col min="9693" max="9693" width="1" style="48" customWidth="1"/>
    <col min="9694" max="9694" width="10.7109375" style="48" customWidth="1"/>
    <col min="9695" max="9695" width="0.85546875" style="48" customWidth="1"/>
    <col min="9696" max="9696" width="16.140625" style="48" customWidth="1"/>
    <col min="9697" max="9697" width="21.28515625" style="48" customWidth="1"/>
    <col min="9698" max="9698" width="0.85546875" style="48" customWidth="1"/>
    <col min="9699" max="9700" width="14.7109375" style="48" customWidth="1"/>
    <col min="9701" max="9701" width="0.85546875" style="48" customWidth="1"/>
    <col min="9702" max="9703" width="16.7109375" style="48" customWidth="1"/>
    <col min="9704" max="9704" width="0.85546875" style="48" customWidth="1"/>
    <col min="9705" max="9705" width="14.7109375" style="48" customWidth="1"/>
    <col min="9706" max="9706" width="0.85546875" style="48" customWidth="1"/>
    <col min="9707" max="9707" width="6.7109375" style="48" customWidth="1"/>
    <col min="9708" max="9708" width="9.42578125" style="48" customWidth="1"/>
    <col min="9709" max="9709" width="6.7109375" style="48" customWidth="1"/>
    <col min="9710" max="9710" width="7.5703125" style="48" customWidth="1"/>
    <col min="9711" max="9711" width="8" style="48" customWidth="1"/>
    <col min="9712" max="9946" width="11.42578125" style="48"/>
    <col min="9947" max="9947" width="4" style="48" customWidth="1"/>
    <col min="9948" max="9948" width="22.7109375" style="48" customWidth="1"/>
    <col min="9949" max="9949" width="1" style="48" customWidth="1"/>
    <col min="9950" max="9950" width="10.7109375" style="48" customWidth="1"/>
    <col min="9951" max="9951" width="0.85546875" style="48" customWidth="1"/>
    <col min="9952" max="9952" width="16.140625" style="48" customWidth="1"/>
    <col min="9953" max="9953" width="21.28515625" style="48" customWidth="1"/>
    <col min="9954" max="9954" width="0.85546875" style="48" customWidth="1"/>
    <col min="9955" max="9956" width="14.7109375" style="48" customWidth="1"/>
    <col min="9957" max="9957" width="0.85546875" style="48" customWidth="1"/>
    <col min="9958" max="9959" width="16.7109375" style="48" customWidth="1"/>
    <col min="9960" max="9960" width="0.85546875" style="48" customWidth="1"/>
    <col min="9961" max="9961" width="14.7109375" style="48" customWidth="1"/>
    <col min="9962" max="9962" width="0.85546875" style="48" customWidth="1"/>
    <col min="9963" max="9963" width="6.7109375" style="48" customWidth="1"/>
    <col min="9964" max="9964" width="9.42578125" style="48" customWidth="1"/>
    <col min="9965" max="9965" width="6.7109375" style="48" customWidth="1"/>
    <col min="9966" max="9966" width="7.5703125" style="48" customWidth="1"/>
    <col min="9967" max="9967" width="8" style="48" customWidth="1"/>
    <col min="9968" max="10202" width="11.42578125" style="48"/>
    <col min="10203" max="10203" width="4" style="48" customWidth="1"/>
    <col min="10204" max="10204" width="22.7109375" style="48" customWidth="1"/>
    <col min="10205" max="10205" width="1" style="48" customWidth="1"/>
    <col min="10206" max="10206" width="10.7109375" style="48" customWidth="1"/>
    <col min="10207" max="10207" width="0.85546875" style="48" customWidth="1"/>
    <col min="10208" max="10208" width="16.140625" style="48" customWidth="1"/>
    <col min="10209" max="10209" width="21.28515625" style="48" customWidth="1"/>
    <col min="10210" max="10210" width="0.85546875" style="48" customWidth="1"/>
    <col min="10211" max="10212" width="14.7109375" style="48" customWidth="1"/>
    <col min="10213" max="10213" width="0.85546875" style="48" customWidth="1"/>
    <col min="10214" max="10215" width="16.7109375" style="48" customWidth="1"/>
    <col min="10216" max="10216" width="0.85546875" style="48" customWidth="1"/>
    <col min="10217" max="10217" width="14.7109375" style="48" customWidth="1"/>
    <col min="10218" max="10218" width="0.85546875" style="48" customWidth="1"/>
    <col min="10219" max="10219" width="6.7109375" style="48" customWidth="1"/>
    <col min="10220" max="10220" width="9.42578125" style="48" customWidth="1"/>
    <col min="10221" max="10221" width="6.7109375" style="48" customWidth="1"/>
    <col min="10222" max="10222" width="7.5703125" style="48" customWidth="1"/>
    <col min="10223" max="10223" width="8" style="48" customWidth="1"/>
    <col min="10224" max="10458" width="11.42578125" style="48"/>
    <col min="10459" max="10459" width="4" style="48" customWidth="1"/>
    <col min="10460" max="10460" width="22.7109375" style="48" customWidth="1"/>
    <col min="10461" max="10461" width="1" style="48" customWidth="1"/>
    <col min="10462" max="10462" width="10.7109375" style="48" customWidth="1"/>
    <col min="10463" max="10463" width="0.85546875" style="48" customWidth="1"/>
    <col min="10464" max="10464" width="16.140625" style="48" customWidth="1"/>
    <col min="10465" max="10465" width="21.28515625" style="48" customWidth="1"/>
    <col min="10466" max="10466" width="0.85546875" style="48" customWidth="1"/>
    <col min="10467" max="10468" width="14.7109375" style="48" customWidth="1"/>
    <col min="10469" max="10469" width="0.85546875" style="48" customWidth="1"/>
    <col min="10470" max="10471" width="16.7109375" style="48" customWidth="1"/>
    <col min="10472" max="10472" width="0.85546875" style="48" customWidth="1"/>
    <col min="10473" max="10473" width="14.7109375" style="48" customWidth="1"/>
    <col min="10474" max="10474" width="0.85546875" style="48" customWidth="1"/>
    <col min="10475" max="10475" width="6.7109375" style="48" customWidth="1"/>
    <col min="10476" max="10476" width="9.42578125" style="48" customWidth="1"/>
    <col min="10477" max="10477" width="6.7109375" style="48" customWidth="1"/>
    <col min="10478" max="10478" width="7.5703125" style="48" customWidth="1"/>
    <col min="10479" max="10479" width="8" style="48" customWidth="1"/>
    <col min="10480" max="10714" width="11.42578125" style="48"/>
    <col min="10715" max="10715" width="4" style="48" customWidth="1"/>
    <col min="10716" max="10716" width="22.7109375" style="48" customWidth="1"/>
    <col min="10717" max="10717" width="1" style="48" customWidth="1"/>
    <col min="10718" max="10718" width="10.7109375" style="48" customWidth="1"/>
    <col min="10719" max="10719" width="0.85546875" style="48" customWidth="1"/>
    <col min="10720" max="10720" width="16.140625" style="48" customWidth="1"/>
    <col min="10721" max="10721" width="21.28515625" style="48" customWidth="1"/>
    <col min="10722" max="10722" width="0.85546875" style="48" customWidth="1"/>
    <col min="10723" max="10724" width="14.7109375" style="48" customWidth="1"/>
    <col min="10725" max="10725" width="0.85546875" style="48" customWidth="1"/>
    <col min="10726" max="10727" width="16.7109375" style="48" customWidth="1"/>
    <col min="10728" max="10728" width="0.85546875" style="48" customWidth="1"/>
    <col min="10729" max="10729" width="14.7109375" style="48" customWidth="1"/>
    <col min="10730" max="10730" width="0.85546875" style="48" customWidth="1"/>
    <col min="10731" max="10731" width="6.7109375" style="48" customWidth="1"/>
    <col min="10732" max="10732" width="9.42578125" style="48" customWidth="1"/>
    <col min="10733" max="10733" width="6.7109375" style="48" customWidth="1"/>
    <col min="10734" max="10734" width="7.5703125" style="48" customWidth="1"/>
    <col min="10735" max="10735" width="8" style="48" customWidth="1"/>
    <col min="10736" max="10970" width="11.42578125" style="48"/>
    <col min="10971" max="10971" width="4" style="48" customWidth="1"/>
    <col min="10972" max="10972" width="22.7109375" style="48" customWidth="1"/>
    <col min="10973" max="10973" width="1" style="48" customWidth="1"/>
    <col min="10974" max="10974" width="10.7109375" style="48" customWidth="1"/>
    <col min="10975" max="10975" width="0.85546875" style="48" customWidth="1"/>
    <col min="10976" max="10976" width="16.140625" style="48" customWidth="1"/>
    <col min="10977" max="10977" width="21.28515625" style="48" customWidth="1"/>
    <col min="10978" max="10978" width="0.85546875" style="48" customWidth="1"/>
    <col min="10979" max="10980" width="14.7109375" style="48" customWidth="1"/>
    <col min="10981" max="10981" width="0.85546875" style="48" customWidth="1"/>
    <col min="10982" max="10983" width="16.7109375" style="48" customWidth="1"/>
    <col min="10984" max="10984" width="0.85546875" style="48" customWidth="1"/>
    <col min="10985" max="10985" width="14.7109375" style="48" customWidth="1"/>
    <col min="10986" max="10986" width="0.85546875" style="48" customWidth="1"/>
    <col min="10987" max="10987" width="6.7109375" style="48" customWidth="1"/>
    <col min="10988" max="10988" width="9.42578125" style="48" customWidth="1"/>
    <col min="10989" max="10989" width="6.7109375" style="48" customWidth="1"/>
    <col min="10990" max="10990" width="7.5703125" style="48" customWidth="1"/>
    <col min="10991" max="10991" width="8" style="48" customWidth="1"/>
    <col min="10992" max="11226" width="11.42578125" style="48"/>
    <col min="11227" max="11227" width="4" style="48" customWidth="1"/>
    <col min="11228" max="11228" width="22.7109375" style="48" customWidth="1"/>
    <col min="11229" max="11229" width="1" style="48" customWidth="1"/>
    <col min="11230" max="11230" width="10.7109375" style="48" customWidth="1"/>
    <col min="11231" max="11231" width="0.85546875" style="48" customWidth="1"/>
    <col min="11232" max="11232" width="16.140625" style="48" customWidth="1"/>
    <col min="11233" max="11233" width="21.28515625" style="48" customWidth="1"/>
    <col min="11234" max="11234" width="0.85546875" style="48" customWidth="1"/>
    <col min="11235" max="11236" width="14.7109375" style="48" customWidth="1"/>
    <col min="11237" max="11237" width="0.85546875" style="48" customWidth="1"/>
    <col min="11238" max="11239" width="16.7109375" style="48" customWidth="1"/>
    <col min="11240" max="11240" width="0.85546875" style="48" customWidth="1"/>
    <col min="11241" max="11241" width="14.7109375" style="48" customWidth="1"/>
    <col min="11242" max="11242" width="0.85546875" style="48" customWidth="1"/>
    <col min="11243" max="11243" width="6.7109375" style="48" customWidth="1"/>
    <col min="11244" max="11244" width="9.42578125" style="48" customWidth="1"/>
    <col min="11245" max="11245" width="6.7109375" style="48" customWidth="1"/>
    <col min="11246" max="11246" width="7.5703125" style="48" customWidth="1"/>
    <col min="11247" max="11247" width="8" style="48" customWidth="1"/>
    <col min="11248" max="11482" width="11.42578125" style="48"/>
    <col min="11483" max="11483" width="4" style="48" customWidth="1"/>
    <col min="11484" max="11484" width="22.7109375" style="48" customWidth="1"/>
    <col min="11485" max="11485" width="1" style="48" customWidth="1"/>
    <col min="11486" max="11486" width="10.7109375" style="48" customWidth="1"/>
    <col min="11487" max="11487" width="0.85546875" style="48" customWidth="1"/>
    <col min="11488" max="11488" width="16.140625" style="48" customWidth="1"/>
    <col min="11489" max="11489" width="21.28515625" style="48" customWidth="1"/>
    <col min="11490" max="11490" width="0.85546875" style="48" customWidth="1"/>
    <col min="11491" max="11492" width="14.7109375" style="48" customWidth="1"/>
    <col min="11493" max="11493" width="0.85546875" style="48" customWidth="1"/>
    <col min="11494" max="11495" width="16.7109375" style="48" customWidth="1"/>
    <col min="11496" max="11496" width="0.85546875" style="48" customWidth="1"/>
    <col min="11497" max="11497" width="14.7109375" style="48" customWidth="1"/>
    <col min="11498" max="11498" width="0.85546875" style="48" customWidth="1"/>
    <col min="11499" max="11499" width="6.7109375" style="48" customWidth="1"/>
    <col min="11500" max="11500" width="9.42578125" style="48" customWidth="1"/>
    <col min="11501" max="11501" width="6.7109375" style="48" customWidth="1"/>
    <col min="11502" max="11502" width="7.5703125" style="48" customWidth="1"/>
    <col min="11503" max="11503" width="8" style="48" customWidth="1"/>
    <col min="11504" max="11738" width="11.42578125" style="48"/>
    <col min="11739" max="11739" width="4" style="48" customWidth="1"/>
    <col min="11740" max="11740" width="22.7109375" style="48" customWidth="1"/>
    <col min="11741" max="11741" width="1" style="48" customWidth="1"/>
    <col min="11742" max="11742" width="10.7109375" style="48" customWidth="1"/>
    <col min="11743" max="11743" width="0.85546875" style="48" customWidth="1"/>
    <col min="11744" max="11744" width="16.140625" style="48" customWidth="1"/>
    <col min="11745" max="11745" width="21.28515625" style="48" customWidth="1"/>
    <col min="11746" max="11746" width="0.85546875" style="48" customWidth="1"/>
    <col min="11747" max="11748" width="14.7109375" style="48" customWidth="1"/>
    <col min="11749" max="11749" width="0.85546875" style="48" customWidth="1"/>
    <col min="11750" max="11751" width="16.7109375" style="48" customWidth="1"/>
    <col min="11752" max="11752" width="0.85546875" style="48" customWidth="1"/>
    <col min="11753" max="11753" width="14.7109375" style="48" customWidth="1"/>
    <col min="11754" max="11754" width="0.85546875" style="48" customWidth="1"/>
    <col min="11755" max="11755" width="6.7109375" style="48" customWidth="1"/>
    <col min="11756" max="11756" width="9.42578125" style="48" customWidth="1"/>
    <col min="11757" max="11757" width="6.7109375" style="48" customWidth="1"/>
    <col min="11758" max="11758" width="7.5703125" style="48" customWidth="1"/>
    <col min="11759" max="11759" width="8" style="48" customWidth="1"/>
    <col min="11760" max="11994" width="11.42578125" style="48"/>
    <col min="11995" max="11995" width="4" style="48" customWidth="1"/>
    <col min="11996" max="11996" width="22.7109375" style="48" customWidth="1"/>
    <col min="11997" max="11997" width="1" style="48" customWidth="1"/>
    <col min="11998" max="11998" width="10.7109375" style="48" customWidth="1"/>
    <col min="11999" max="11999" width="0.85546875" style="48" customWidth="1"/>
    <col min="12000" max="12000" width="16.140625" style="48" customWidth="1"/>
    <col min="12001" max="12001" width="21.28515625" style="48" customWidth="1"/>
    <col min="12002" max="12002" width="0.85546875" style="48" customWidth="1"/>
    <col min="12003" max="12004" width="14.7109375" style="48" customWidth="1"/>
    <col min="12005" max="12005" width="0.85546875" style="48" customWidth="1"/>
    <col min="12006" max="12007" width="16.7109375" style="48" customWidth="1"/>
    <col min="12008" max="12008" width="0.85546875" style="48" customWidth="1"/>
    <col min="12009" max="12009" width="14.7109375" style="48" customWidth="1"/>
    <col min="12010" max="12010" width="0.85546875" style="48" customWidth="1"/>
    <col min="12011" max="12011" width="6.7109375" style="48" customWidth="1"/>
    <col min="12012" max="12012" width="9.42578125" style="48" customWidth="1"/>
    <col min="12013" max="12013" width="6.7109375" style="48" customWidth="1"/>
    <col min="12014" max="12014" width="7.5703125" style="48" customWidth="1"/>
    <col min="12015" max="12015" width="8" style="48" customWidth="1"/>
    <col min="12016" max="12250" width="11.42578125" style="48"/>
    <col min="12251" max="12251" width="4" style="48" customWidth="1"/>
    <col min="12252" max="12252" width="22.7109375" style="48" customWidth="1"/>
    <col min="12253" max="12253" width="1" style="48" customWidth="1"/>
    <col min="12254" max="12254" width="10.7109375" style="48" customWidth="1"/>
    <col min="12255" max="12255" width="0.85546875" style="48" customWidth="1"/>
    <col min="12256" max="12256" width="16.140625" style="48" customWidth="1"/>
    <col min="12257" max="12257" width="21.28515625" style="48" customWidth="1"/>
    <col min="12258" max="12258" width="0.85546875" style="48" customWidth="1"/>
    <col min="12259" max="12260" width="14.7109375" style="48" customWidth="1"/>
    <col min="12261" max="12261" width="0.85546875" style="48" customWidth="1"/>
    <col min="12262" max="12263" width="16.7109375" style="48" customWidth="1"/>
    <col min="12264" max="12264" width="0.85546875" style="48" customWidth="1"/>
    <col min="12265" max="12265" width="14.7109375" style="48" customWidth="1"/>
    <col min="12266" max="12266" width="0.85546875" style="48" customWidth="1"/>
    <col min="12267" max="12267" width="6.7109375" style="48" customWidth="1"/>
    <col min="12268" max="12268" width="9.42578125" style="48" customWidth="1"/>
    <col min="12269" max="12269" width="6.7109375" style="48" customWidth="1"/>
    <col min="12270" max="12270" width="7.5703125" style="48" customWidth="1"/>
    <col min="12271" max="12271" width="8" style="48" customWidth="1"/>
    <col min="12272" max="12506" width="11.42578125" style="48"/>
    <col min="12507" max="12507" width="4" style="48" customWidth="1"/>
    <col min="12508" max="12508" width="22.7109375" style="48" customWidth="1"/>
    <col min="12509" max="12509" width="1" style="48" customWidth="1"/>
    <col min="12510" max="12510" width="10.7109375" style="48" customWidth="1"/>
    <col min="12511" max="12511" width="0.85546875" style="48" customWidth="1"/>
    <col min="12512" max="12512" width="16.140625" style="48" customWidth="1"/>
    <col min="12513" max="12513" width="21.28515625" style="48" customWidth="1"/>
    <col min="12514" max="12514" width="0.85546875" style="48" customWidth="1"/>
    <col min="12515" max="12516" width="14.7109375" style="48" customWidth="1"/>
    <col min="12517" max="12517" width="0.85546875" style="48" customWidth="1"/>
    <col min="12518" max="12519" width="16.7109375" style="48" customWidth="1"/>
    <col min="12520" max="12520" width="0.85546875" style="48" customWidth="1"/>
    <col min="12521" max="12521" width="14.7109375" style="48" customWidth="1"/>
    <col min="12522" max="12522" width="0.85546875" style="48" customWidth="1"/>
    <col min="12523" max="12523" width="6.7109375" style="48" customWidth="1"/>
    <col min="12524" max="12524" width="9.42578125" style="48" customWidth="1"/>
    <col min="12525" max="12525" width="6.7109375" style="48" customWidth="1"/>
    <col min="12526" max="12526" width="7.5703125" style="48" customWidth="1"/>
    <col min="12527" max="12527" width="8" style="48" customWidth="1"/>
    <col min="12528" max="12762" width="11.42578125" style="48"/>
    <col min="12763" max="12763" width="4" style="48" customWidth="1"/>
    <col min="12764" max="12764" width="22.7109375" style="48" customWidth="1"/>
    <col min="12765" max="12765" width="1" style="48" customWidth="1"/>
    <col min="12766" max="12766" width="10.7109375" style="48" customWidth="1"/>
    <col min="12767" max="12767" width="0.85546875" style="48" customWidth="1"/>
    <col min="12768" max="12768" width="16.140625" style="48" customWidth="1"/>
    <col min="12769" max="12769" width="21.28515625" style="48" customWidth="1"/>
    <col min="12770" max="12770" width="0.85546875" style="48" customWidth="1"/>
    <col min="12771" max="12772" width="14.7109375" style="48" customWidth="1"/>
    <col min="12773" max="12773" width="0.85546875" style="48" customWidth="1"/>
    <col min="12774" max="12775" width="16.7109375" style="48" customWidth="1"/>
    <col min="12776" max="12776" width="0.85546875" style="48" customWidth="1"/>
    <col min="12777" max="12777" width="14.7109375" style="48" customWidth="1"/>
    <col min="12778" max="12778" width="0.85546875" style="48" customWidth="1"/>
    <col min="12779" max="12779" width="6.7109375" style="48" customWidth="1"/>
    <col min="12780" max="12780" width="9.42578125" style="48" customWidth="1"/>
    <col min="12781" max="12781" width="6.7109375" style="48" customWidth="1"/>
    <col min="12782" max="12782" width="7.5703125" style="48" customWidth="1"/>
    <col min="12783" max="12783" width="8" style="48" customWidth="1"/>
    <col min="12784" max="13018" width="11.42578125" style="48"/>
    <col min="13019" max="13019" width="4" style="48" customWidth="1"/>
    <col min="13020" max="13020" width="22.7109375" style="48" customWidth="1"/>
    <col min="13021" max="13021" width="1" style="48" customWidth="1"/>
    <col min="13022" max="13022" width="10.7109375" style="48" customWidth="1"/>
    <col min="13023" max="13023" width="0.85546875" style="48" customWidth="1"/>
    <col min="13024" max="13024" width="16.140625" style="48" customWidth="1"/>
    <col min="13025" max="13025" width="21.28515625" style="48" customWidth="1"/>
    <col min="13026" max="13026" width="0.85546875" style="48" customWidth="1"/>
    <col min="13027" max="13028" width="14.7109375" style="48" customWidth="1"/>
    <col min="13029" max="13029" width="0.85546875" style="48" customWidth="1"/>
    <col min="13030" max="13031" width="16.7109375" style="48" customWidth="1"/>
    <col min="13032" max="13032" width="0.85546875" style="48" customWidth="1"/>
    <col min="13033" max="13033" width="14.7109375" style="48" customWidth="1"/>
    <col min="13034" max="13034" width="0.85546875" style="48" customWidth="1"/>
    <col min="13035" max="13035" width="6.7109375" style="48" customWidth="1"/>
    <col min="13036" max="13036" width="9.42578125" style="48" customWidth="1"/>
    <col min="13037" max="13037" width="6.7109375" style="48" customWidth="1"/>
    <col min="13038" max="13038" width="7.5703125" style="48" customWidth="1"/>
    <col min="13039" max="13039" width="8" style="48" customWidth="1"/>
    <col min="13040" max="13274" width="11.42578125" style="48"/>
    <col min="13275" max="13275" width="4" style="48" customWidth="1"/>
    <col min="13276" max="13276" width="22.7109375" style="48" customWidth="1"/>
    <col min="13277" max="13277" width="1" style="48" customWidth="1"/>
    <col min="13278" max="13278" width="10.7109375" style="48" customWidth="1"/>
    <col min="13279" max="13279" width="0.85546875" style="48" customWidth="1"/>
    <col min="13280" max="13280" width="16.140625" style="48" customWidth="1"/>
    <col min="13281" max="13281" width="21.28515625" style="48" customWidth="1"/>
    <col min="13282" max="13282" width="0.85546875" style="48" customWidth="1"/>
    <col min="13283" max="13284" width="14.7109375" style="48" customWidth="1"/>
    <col min="13285" max="13285" width="0.85546875" style="48" customWidth="1"/>
    <col min="13286" max="13287" width="16.7109375" style="48" customWidth="1"/>
    <col min="13288" max="13288" width="0.85546875" style="48" customWidth="1"/>
    <col min="13289" max="13289" width="14.7109375" style="48" customWidth="1"/>
    <col min="13290" max="13290" width="0.85546875" style="48" customWidth="1"/>
    <col min="13291" max="13291" width="6.7109375" style="48" customWidth="1"/>
    <col min="13292" max="13292" width="9.42578125" style="48" customWidth="1"/>
    <col min="13293" max="13293" width="6.7109375" style="48" customWidth="1"/>
    <col min="13294" max="13294" width="7.5703125" style="48" customWidth="1"/>
    <col min="13295" max="13295" width="8" style="48" customWidth="1"/>
    <col min="13296" max="13530" width="11.42578125" style="48"/>
    <col min="13531" max="13531" width="4" style="48" customWidth="1"/>
    <col min="13532" max="13532" width="22.7109375" style="48" customWidth="1"/>
    <col min="13533" max="13533" width="1" style="48" customWidth="1"/>
    <col min="13534" max="13534" width="10.7109375" style="48" customWidth="1"/>
    <col min="13535" max="13535" width="0.85546875" style="48" customWidth="1"/>
    <col min="13536" max="13536" width="16.140625" style="48" customWidth="1"/>
    <col min="13537" max="13537" width="21.28515625" style="48" customWidth="1"/>
    <col min="13538" max="13538" width="0.85546875" style="48" customWidth="1"/>
    <col min="13539" max="13540" width="14.7109375" style="48" customWidth="1"/>
    <col min="13541" max="13541" width="0.85546875" style="48" customWidth="1"/>
    <col min="13542" max="13543" width="16.7109375" style="48" customWidth="1"/>
    <col min="13544" max="13544" width="0.85546875" style="48" customWidth="1"/>
    <col min="13545" max="13545" width="14.7109375" style="48" customWidth="1"/>
    <col min="13546" max="13546" width="0.85546875" style="48" customWidth="1"/>
    <col min="13547" max="13547" width="6.7109375" style="48" customWidth="1"/>
    <col min="13548" max="13548" width="9.42578125" style="48" customWidth="1"/>
    <col min="13549" max="13549" width="6.7109375" style="48" customWidth="1"/>
    <col min="13550" max="13550" width="7.5703125" style="48" customWidth="1"/>
    <col min="13551" max="13551" width="8" style="48" customWidth="1"/>
    <col min="13552" max="13786" width="11.42578125" style="48"/>
    <col min="13787" max="13787" width="4" style="48" customWidth="1"/>
    <col min="13788" max="13788" width="22.7109375" style="48" customWidth="1"/>
    <col min="13789" max="13789" width="1" style="48" customWidth="1"/>
    <col min="13790" max="13790" width="10.7109375" style="48" customWidth="1"/>
    <col min="13791" max="13791" width="0.85546875" style="48" customWidth="1"/>
    <col min="13792" max="13792" width="16.140625" style="48" customWidth="1"/>
    <col min="13793" max="13793" width="21.28515625" style="48" customWidth="1"/>
    <col min="13794" max="13794" width="0.85546875" style="48" customWidth="1"/>
    <col min="13795" max="13796" width="14.7109375" style="48" customWidth="1"/>
    <col min="13797" max="13797" width="0.85546875" style="48" customWidth="1"/>
    <col min="13798" max="13799" width="16.7109375" style="48" customWidth="1"/>
    <col min="13800" max="13800" width="0.85546875" style="48" customWidth="1"/>
    <col min="13801" max="13801" width="14.7109375" style="48" customWidth="1"/>
    <col min="13802" max="13802" width="0.85546875" style="48" customWidth="1"/>
    <col min="13803" max="13803" width="6.7109375" style="48" customWidth="1"/>
    <col min="13804" max="13804" width="9.42578125" style="48" customWidth="1"/>
    <col min="13805" max="13805" width="6.7109375" style="48" customWidth="1"/>
    <col min="13806" max="13806" width="7.5703125" style="48" customWidth="1"/>
    <col min="13807" max="13807" width="8" style="48" customWidth="1"/>
    <col min="13808" max="14042" width="11.42578125" style="48"/>
    <col min="14043" max="14043" width="4" style="48" customWidth="1"/>
    <col min="14044" max="14044" width="22.7109375" style="48" customWidth="1"/>
    <col min="14045" max="14045" width="1" style="48" customWidth="1"/>
    <col min="14046" max="14046" width="10.7109375" style="48" customWidth="1"/>
    <col min="14047" max="14047" width="0.85546875" style="48" customWidth="1"/>
    <col min="14048" max="14048" width="16.140625" style="48" customWidth="1"/>
    <col min="14049" max="14049" width="21.28515625" style="48" customWidth="1"/>
    <col min="14050" max="14050" width="0.85546875" style="48" customWidth="1"/>
    <col min="14051" max="14052" width="14.7109375" style="48" customWidth="1"/>
    <col min="14053" max="14053" width="0.85546875" style="48" customWidth="1"/>
    <col min="14054" max="14055" width="16.7109375" style="48" customWidth="1"/>
    <col min="14056" max="14056" width="0.85546875" style="48" customWidth="1"/>
    <col min="14057" max="14057" width="14.7109375" style="48" customWidth="1"/>
    <col min="14058" max="14058" width="0.85546875" style="48" customWidth="1"/>
    <col min="14059" max="14059" width="6.7109375" style="48" customWidth="1"/>
    <col min="14060" max="14060" width="9.42578125" style="48" customWidth="1"/>
    <col min="14061" max="14061" width="6.7109375" style="48" customWidth="1"/>
    <col min="14062" max="14062" width="7.5703125" style="48" customWidth="1"/>
    <col min="14063" max="14063" width="8" style="48" customWidth="1"/>
    <col min="14064" max="14298" width="11.42578125" style="48"/>
    <col min="14299" max="14299" width="4" style="48" customWidth="1"/>
    <col min="14300" max="14300" width="22.7109375" style="48" customWidth="1"/>
    <col min="14301" max="14301" width="1" style="48" customWidth="1"/>
    <col min="14302" max="14302" width="10.7109375" style="48" customWidth="1"/>
    <col min="14303" max="14303" width="0.85546875" style="48" customWidth="1"/>
    <col min="14304" max="14304" width="16.140625" style="48" customWidth="1"/>
    <col min="14305" max="14305" width="21.28515625" style="48" customWidth="1"/>
    <col min="14306" max="14306" width="0.85546875" style="48" customWidth="1"/>
    <col min="14307" max="14308" width="14.7109375" style="48" customWidth="1"/>
    <col min="14309" max="14309" width="0.85546875" style="48" customWidth="1"/>
    <col min="14310" max="14311" width="16.7109375" style="48" customWidth="1"/>
    <col min="14312" max="14312" width="0.85546875" style="48" customWidth="1"/>
    <col min="14313" max="14313" width="14.7109375" style="48" customWidth="1"/>
    <col min="14314" max="14314" width="0.85546875" style="48" customWidth="1"/>
    <col min="14315" max="14315" width="6.7109375" style="48" customWidth="1"/>
    <col min="14316" max="14316" width="9.42578125" style="48" customWidth="1"/>
    <col min="14317" max="14317" width="6.7109375" style="48" customWidth="1"/>
    <col min="14318" max="14318" width="7.5703125" style="48" customWidth="1"/>
    <col min="14319" max="14319" width="8" style="48" customWidth="1"/>
    <col min="14320" max="14554" width="11.42578125" style="48"/>
    <col min="14555" max="14555" width="4" style="48" customWidth="1"/>
    <col min="14556" max="14556" width="22.7109375" style="48" customWidth="1"/>
    <col min="14557" max="14557" width="1" style="48" customWidth="1"/>
    <col min="14558" max="14558" width="10.7109375" style="48" customWidth="1"/>
    <col min="14559" max="14559" width="0.85546875" style="48" customWidth="1"/>
    <col min="14560" max="14560" width="16.140625" style="48" customWidth="1"/>
    <col min="14561" max="14561" width="21.28515625" style="48" customWidth="1"/>
    <col min="14562" max="14562" width="0.85546875" style="48" customWidth="1"/>
    <col min="14563" max="14564" width="14.7109375" style="48" customWidth="1"/>
    <col min="14565" max="14565" width="0.85546875" style="48" customWidth="1"/>
    <col min="14566" max="14567" width="16.7109375" style="48" customWidth="1"/>
    <col min="14568" max="14568" width="0.85546875" style="48" customWidth="1"/>
    <col min="14569" max="14569" width="14.7109375" style="48" customWidth="1"/>
    <col min="14570" max="14570" width="0.85546875" style="48" customWidth="1"/>
    <col min="14571" max="14571" width="6.7109375" style="48" customWidth="1"/>
    <col min="14572" max="14572" width="9.42578125" style="48" customWidth="1"/>
    <col min="14573" max="14573" width="6.7109375" style="48" customWidth="1"/>
    <col min="14574" max="14574" width="7.5703125" style="48" customWidth="1"/>
    <col min="14575" max="14575" width="8" style="48" customWidth="1"/>
    <col min="14576" max="14810" width="11.42578125" style="48"/>
    <col min="14811" max="14811" width="4" style="48" customWidth="1"/>
    <col min="14812" max="14812" width="22.7109375" style="48" customWidth="1"/>
    <col min="14813" max="14813" width="1" style="48" customWidth="1"/>
    <col min="14814" max="14814" width="10.7109375" style="48" customWidth="1"/>
    <col min="14815" max="14815" width="0.85546875" style="48" customWidth="1"/>
    <col min="14816" max="14816" width="16.140625" style="48" customWidth="1"/>
    <col min="14817" max="14817" width="21.28515625" style="48" customWidth="1"/>
    <col min="14818" max="14818" width="0.85546875" style="48" customWidth="1"/>
    <col min="14819" max="14820" width="14.7109375" style="48" customWidth="1"/>
    <col min="14821" max="14821" width="0.85546875" style="48" customWidth="1"/>
    <col min="14822" max="14823" width="16.7109375" style="48" customWidth="1"/>
    <col min="14824" max="14824" width="0.85546875" style="48" customWidth="1"/>
    <col min="14825" max="14825" width="14.7109375" style="48" customWidth="1"/>
    <col min="14826" max="14826" width="0.85546875" style="48" customWidth="1"/>
    <col min="14827" max="14827" width="6.7109375" style="48" customWidth="1"/>
    <col min="14828" max="14828" width="9.42578125" style="48" customWidth="1"/>
    <col min="14829" max="14829" width="6.7109375" style="48" customWidth="1"/>
    <col min="14830" max="14830" width="7.5703125" style="48" customWidth="1"/>
    <col min="14831" max="14831" width="8" style="48" customWidth="1"/>
    <col min="14832" max="15066" width="11.42578125" style="48"/>
    <col min="15067" max="15067" width="4" style="48" customWidth="1"/>
    <col min="15068" max="15068" width="22.7109375" style="48" customWidth="1"/>
    <col min="15069" max="15069" width="1" style="48" customWidth="1"/>
    <col min="15070" max="15070" width="10.7109375" style="48" customWidth="1"/>
    <col min="15071" max="15071" width="0.85546875" style="48" customWidth="1"/>
    <col min="15072" max="15072" width="16.140625" style="48" customWidth="1"/>
    <col min="15073" max="15073" width="21.28515625" style="48" customWidth="1"/>
    <col min="15074" max="15074" width="0.85546875" style="48" customWidth="1"/>
    <col min="15075" max="15076" width="14.7109375" style="48" customWidth="1"/>
    <col min="15077" max="15077" width="0.85546875" style="48" customWidth="1"/>
    <col min="15078" max="15079" width="16.7109375" style="48" customWidth="1"/>
    <col min="15080" max="15080" width="0.85546875" style="48" customWidth="1"/>
    <col min="15081" max="15081" width="14.7109375" style="48" customWidth="1"/>
    <col min="15082" max="15082" width="0.85546875" style="48" customWidth="1"/>
    <col min="15083" max="15083" width="6.7109375" style="48" customWidth="1"/>
    <col min="15084" max="15084" width="9.42578125" style="48" customWidth="1"/>
    <col min="15085" max="15085" width="6.7109375" style="48" customWidth="1"/>
    <col min="15086" max="15086" width="7.5703125" style="48" customWidth="1"/>
    <col min="15087" max="15087" width="8" style="48" customWidth="1"/>
    <col min="15088" max="15322" width="11.42578125" style="48"/>
    <col min="15323" max="15323" width="4" style="48" customWidth="1"/>
    <col min="15324" max="15324" width="22.7109375" style="48" customWidth="1"/>
    <col min="15325" max="15325" width="1" style="48" customWidth="1"/>
    <col min="15326" max="15326" width="10.7109375" style="48" customWidth="1"/>
    <col min="15327" max="15327" width="0.85546875" style="48" customWidth="1"/>
    <col min="15328" max="15328" width="16.140625" style="48" customWidth="1"/>
    <col min="15329" max="15329" width="21.28515625" style="48" customWidth="1"/>
    <col min="15330" max="15330" width="0.85546875" style="48" customWidth="1"/>
    <col min="15331" max="15332" width="14.7109375" style="48" customWidth="1"/>
    <col min="15333" max="15333" width="0.85546875" style="48" customWidth="1"/>
    <col min="15334" max="15335" width="16.7109375" style="48" customWidth="1"/>
    <col min="15336" max="15336" width="0.85546875" style="48" customWidth="1"/>
    <col min="15337" max="15337" width="14.7109375" style="48" customWidth="1"/>
    <col min="15338" max="15338" width="0.85546875" style="48" customWidth="1"/>
    <col min="15339" max="15339" width="6.7109375" style="48" customWidth="1"/>
    <col min="15340" max="15340" width="9.42578125" style="48" customWidth="1"/>
    <col min="15341" max="15341" width="6.7109375" style="48" customWidth="1"/>
    <col min="15342" max="15342" width="7.5703125" style="48" customWidth="1"/>
    <col min="15343" max="15343" width="8" style="48" customWidth="1"/>
    <col min="15344" max="15578" width="11.42578125" style="48"/>
    <col min="15579" max="15579" width="4" style="48" customWidth="1"/>
    <col min="15580" max="15580" width="22.7109375" style="48" customWidth="1"/>
    <col min="15581" max="15581" width="1" style="48" customWidth="1"/>
    <col min="15582" max="15582" width="10.7109375" style="48" customWidth="1"/>
    <col min="15583" max="15583" width="0.85546875" style="48" customWidth="1"/>
    <col min="15584" max="15584" width="16.140625" style="48" customWidth="1"/>
    <col min="15585" max="15585" width="21.28515625" style="48" customWidth="1"/>
    <col min="15586" max="15586" width="0.85546875" style="48" customWidth="1"/>
    <col min="15587" max="15588" width="14.7109375" style="48" customWidth="1"/>
    <col min="15589" max="15589" width="0.85546875" style="48" customWidth="1"/>
    <col min="15590" max="15591" width="16.7109375" style="48" customWidth="1"/>
    <col min="15592" max="15592" width="0.85546875" style="48" customWidth="1"/>
    <col min="15593" max="15593" width="14.7109375" style="48" customWidth="1"/>
    <col min="15594" max="15594" width="0.85546875" style="48" customWidth="1"/>
    <col min="15595" max="15595" width="6.7109375" style="48" customWidth="1"/>
    <col min="15596" max="15596" width="9.42578125" style="48" customWidth="1"/>
    <col min="15597" max="15597" width="6.7109375" style="48" customWidth="1"/>
    <col min="15598" max="15598" width="7.5703125" style="48" customWidth="1"/>
    <col min="15599" max="15599" width="8" style="48" customWidth="1"/>
    <col min="15600" max="15834" width="11.42578125" style="48"/>
    <col min="15835" max="15835" width="4" style="48" customWidth="1"/>
    <col min="15836" max="15836" width="22.7109375" style="48" customWidth="1"/>
    <col min="15837" max="15837" width="1" style="48" customWidth="1"/>
    <col min="15838" max="15838" width="10.7109375" style="48" customWidth="1"/>
    <col min="15839" max="15839" width="0.85546875" style="48" customWidth="1"/>
    <col min="15840" max="15840" width="16.140625" style="48" customWidth="1"/>
    <col min="15841" max="15841" width="21.28515625" style="48" customWidth="1"/>
    <col min="15842" max="15842" width="0.85546875" style="48" customWidth="1"/>
    <col min="15843" max="15844" width="14.7109375" style="48" customWidth="1"/>
    <col min="15845" max="15845" width="0.85546875" style="48" customWidth="1"/>
    <col min="15846" max="15847" width="16.7109375" style="48" customWidth="1"/>
    <col min="15848" max="15848" width="0.85546875" style="48" customWidth="1"/>
    <col min="15849" max="15849" width="14.7109375" style="48" customWidth="1"/>
    <col min="15850" max="15850" width="0.85546875" style="48" customWidth="1"/>
    <col min="15851" max="15851" width="6.7109375" style="48" customWidth="1"/>
    <col min="15852" max="15852" width="9.42578125" style="48" customWidth="1"/>
    <col min="15853" max="15853" width="6.7109375" style="48" customWidth="1"/>
    <col min="15854" max="15854" width="7.5703125" style="48" customWidth="1"/>
    <col min="15855" max="15855" width="8" style="48" customWidth="1"/>
    <col min="15856" max="16384" width="11.42578125" style="48"/>
  </cols>
  <sheetData>
    <row r="1" spans="1:21" ht="20.25" customHeight="1" x14ac:dyDescent="0.25">
      <c r="A1" s="232"/>
    </row>
    <row r="2" spans="1:21" ht="20.25" customHeight="1" x14ac:dyDescent="0.25">
      <c r="B2" s="832" t="s">
        <v>136</v>
      </c>
      <c r="C2" s="832"/>
      <c r="D2" s="832"/>
      <c r="E2" s="832"/>
      <c r="F2" s="832"/>
      <c r="G2" s="832"/>
      <c r="H2" s="832"/>
      <c r="I2" s="832"/>
      <c r="J2" s="832"/>
      <c r="K2" s="832"/>
      <c r="L2" s="832"/>
      <c r="M2" s="832"/>
      <c r="N2" s="832"/>
      <c r="O2" s="832"/>
      <c r="P2" s="832"/>
      <c r="Q2" s="832"/>
      <c r="R2" s="832"/>
      <c r="S2" s="832"/>
      <c r="T2" s="832"/>
      <c r="U2" s="832"/>
    </row>
    <row r="3" spans="1:21" ht="20.25" customHeight="1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spans="1:21" s="49" customFormat="1" ht="20.25" customHeight="1" x14ac:dyDescent="0.25">
      <c r="B4" s="80"/>
      <c r="C4" s="412"/>
      <c r="F4" s="820" t="s">
        <v>170</v>
      </c>
      <c r="G4" s="821"/>
      <c r="H4" s="431"/>
      <c r="I4" s="822" t="str">
        <f>Production!I4</f>
        <v>Décembre 2025</v>
      </c>
      <c r="J4" s="823"/>
      <c r="K4" s="255"/>
      <c r="L4" s="824" t="str">
        <f>Production!L4</f>
        <v>Cumul à fin Décembre 2025</v>
      </c>
      <c r="M4" s="825"/>
      <c r="N4" s="8"/>
      <c r="O4" s="9" t="s">
        <v>0</v>
      </c>
      <c r="P4" s="7"/>
      <c r="Q4" s="829" t="s">
        <v>1</v>
      </c>
      <c r="R4" s="830"/>
      <c r="S4" s="830"/>
      <c r="T4" s="830"/>
      <c r="U4" s="831"/>
    </row>
    <row r="5" spans="1:21" s="49" customFormat="1" ht="30" customHeight="1" x14ac:dyDescent="0.25">
      <c r="B5" s="79"/>
      <c r="D5" s="50"/>
      <c r="F5" s="613" t="str">
        <f>Production!F5</f>
        <v>Décembre</v>
      </c>
      <c r="G5" s="613" t="str">
        <f>Production!G5</f>
        <v>Cumul à fin décembre</v>
      </c>
      <c r="H5" s="614"/>
      <c r="I5" s="11" t="s">
        <v>2</v>
      </c>
      <c r="J5" s="11" t="s">
        <v>3</v>
      </c>
      <c r="K5" s="255"/>
      <c r="L5" s="11" t="s">
        <v>2</v>
      </c>
      <c r="M5" s="11" t="s">
        <v>3</v>
      </c>
      <c r="N5" s="12"/>
      <c r="O5" s="13">
        <v>2025</v>
      </c>
      <c r="P5" s="7"/>
      <c r="Q5" s="829" t="s">
        <v>3</v>
      </c>
      <c r="R5" s="830"/>
      <c r="S5" s="831"/>
      <c r="T5" s="829" t="s">
        <v>4</v>
      </c>
      <c r="U5" s="831"/>
    </row>
    <row r="6" spans="1:21" s="14" customFormat="1" ht="20.25" customHeight="1" x14ac:dyDescent="0.25">
      <c r="B6" s="840"/>
      <c r="C6" s="840"/>
      <c r="D6" s="840"/>
      <c r="F6" s="53" t="s">
        <v>6</v>
      </c>
      <c r="G6" s="53" t="s">
        <v>7</v>
      </c>
      <c r="H6" s="54"/>
      <c r="I6" s="53" t="s">
        <v>8</v>
      </c>
      <c r="J6" s="53" t="s">
        <v>9</v>
      </c>
      <c r="K6" s="48"/>
      <c r="L6" s="53" t="s">
        <v>10</v>
      </c>
      <c r="M6" s="53" t="s">
        <v>11</v>
      </c>
      <c r="N6" s="55"/>
      <c r="O6" s="53" t="s">
        <v>12</v>
      </c>
      <c r="P6" s="49"/>
      <c r="Q6" s="56" t="s">
        <v>13</v>
      </c>
      <c r="R6" s="56" t="s">
        <v>14</v>
      </c>
      <c r="S6" s="56" t="s">
        <v>15</v>
      </c>
      <c r="T6" s="18" t="s">
        <v>158</v>
      </c>
      <c r="U6" s="18" t="s">
        <v>159</v>
      </c>
    </row>
    <row r="7" spans="1:21" ht="24.95" customHeight="1" x14ac:dyDescent="0.25">
      <c r="B7" s="81" t="s">
        <v>25</v>
      </c>
      <c r="D7" s="82" t="s">
        <v>26</v>
      </c>
      <c r="F7" s="235"/>
      <c r="G7" s="83"/>
      <c r="H7" s="23"/>
      <c r="I7" s="235"/>
      <c r="J7" s="235"/>
      <c r="K7" s="25"/>
      <c r="L7" s="235"/>
      <c r="M7" s="235"/>
      <c r="N7" s="26"/>
      <c r="O7" s="83"/>
      <c r="Q7" s="84" t="str">
        <f>IFERROR(J7/I7,"-")</f>
        <v>-</v>
      </c>
      <c r="R7" s="85" t="str">
        <f>IFERROR(M7/L7,"-")</f>
        <v>-</v>
      </c>
      <c r="S7" s="86" t="str">
        <f>IFERROR(M7/O7,"-")</f>
        <v>-</v>
      </c>
      <c r="T7" s="84" t="str">
        <f>IFERROR(J7/F7-1,"-")</f>
        <v>-</v>
      </c>
      <c r="U7" s="86" t="str">
        <f>IFERROR(M7/G7-1,"-")</f>
        <v>-</v>
      </c>
    </row>
    <row r="8" spans="1:21" s="28" customFormat="1" ht="24.95" customHeight="1" x14ac:dyDescent="0.25">
      <c r="B8" s="87" t="s">
        <v>28</v>
      </c>
      <c r="D8" s="88" t="s">
        <v>26</v>
      </c>
      <c r="E8" s="7"/>
      <c r="F8" s="30"/>
      <c r="G8" s="29"/>
      <c r="H8" s="23"/>
      <c r="I8" s="30"/>
      <c r="J8" s="30"/>
      <c r="K8" s="25"/>
      <c r="L8" s="30"/>
      <c r="M8" s="30"/>
      <c r="N8" s="32"/>
      <c r="O8" s="29"/>
      <c r="Q8" s="43" t="str">
        <f t="shared" ref="Q8:Q19" si="0">IFERROR(J8/I8,"-")</f>
        <v>-</v>
      </c>
      <c r="R8" s="44" t="str">
        <f t="shared" ref="R8:R19" si="1">IFERROR(M8/L8,"-")</f>
        <v>-</v>
      </c>
      <c r="S8" s="45" t="str">
        <f t="shared" ref="S8:S19" si="2">IFERROR(M8/O8,"-")</f>
        <v>-</v>
      </c>
      <c r="T8" s="658" t="str">
        <f t="shared" ref="T8:T19" si="3">IFERROR(J8/F8-1,"-")</f>
        <v>-</v>
      </c>
      <c r="U8" s="45" t="str">
        <f t="shared" ref="U8:U19" si="4">IFERROR(M8/G8-1,"-")</f>
        <v>-</v>
      </c>
    </row>
    <row r="9" spans="1:21" s="28" customFormat="1" ht="24.95" customHeight="1" x14ac:dyDescent="0.25">
      <c r="B9" s="87" t="s">
        <v>29</v>
      </c>
      <c r="D9" s="88" t="s">
        <v>26</v>
      </c>
      <c r="E9" s="7"/>
      <c r="F9" s="30"/>
      <c r="G9" s="29"/>
      <c r="H9" s="23"/>
      <c r="I9" s="30"/>
      <c r="J9" s="30"/>
      <c r="K9" s="25"/>
      <c r="L9" s="30"/>
      <c r="M9" s="30"/>
      <c r="N9" s="32"/>
      <c r="O9" s="29"/>
      <c r="Q9" s="43" t="str">
        <f t="shared" si="0"/>
        <v>-</v>
      </c>
      <c r="R9" s="44" t="str">
        <f t="shared" si="1"/>
        <v>-</v>
      </c>
      <c r="S9" s="45" t="str">
        <f t="shared" si="2"/>
        <v>-</v>
      </c>
      <c r="T9" s="43" t="str">
        <f t="shared" si="3"/>
        <v>-</v>
      </c>
      <c r="U9" s="45" t="str">
        <f t="shared" si="4"/>
        <v>-</v>
      </c>
    </row>
    <row r="10" spans="1:21" ht="24.95" customHeight="1" x14ac:dyDescent="0.25">
      <c r="B10" s="89" t="s">
        <v>30</v>
      </c>
      <c r="D10" s="90" t="s">
        <v>31</v>
      </c>
      <c r="F10" s="250"/>
      <c r="G10" s="33"/>
      <c r="H10" s="35"/>
      <c r="I10" s="250"/>
      <c r="J10" s="239"/>
      <c r="K10" s="138"/>
      <c r="L10" s="239"/>
      <c r="M10" s="239"/>
      <c r="N10" s="26"/>
      <c r="O10" s="33"/>
      <c r="P10" s="49"/>
      <c r="Q10" s="46" t="str">
        <f t="shared" si="0"/>
        <v>-</v>
      </c>
      <c r="R10" s="91" t="str">
        <f t="shared" si="1"/>
        <v>-</v>
      </c>
      <c r="S10" s="47" t="str">
        <f t="shared" si="2"/>
        <v>-</v>
      </c>
      <c r="T10" s="46" t="str">
        <f t="shared" si="3"/>
        <v>-</v>
      </c>
      <c r="U10" s="47" t="str">
        <f t="shared" si="4"/>
        <v>-</v>
      </c>
    </row>
    <row r="11" spans="1:21" s="59" customFormat="1" ht="6" customHeight="1" x14ac:dyDescent="0.25">
      <c r="B11" s="19"/>
      <c r="F11" s="72"/>
      <c r="G11" s="72"/>
      <c r="H11" s="72"/>
      <c r="I11" s="72"/>
      <c r="J11" s="72"/>
      <c r="K11" s="92"/>
      <c r="L11" s="72"/>
      <c r="M11" s="72"/>
      <c r="N11" s="26"/>
      <c r="O11" s="72"/>
      <c r="P11" s="75"/>
      <c r="Q11" s="91"/>
      <c r="R11" s="91"/>
      <c r="S11" s="91"/>
      <c r="T11" s="91"/>
      <c r="U11" s="91"/>
    </row>
    <row r="12" spans="1:21" s="58" customFormat="1" ht="24.95" customHeight="1" x14ac:dyDescent="0.25">
      <c r="B12" s="93" t="s">
        <v>34</v>
      </c>
      <c r="D12" s="94" t="s">
        <v>33</v>
      </c>
      <c r="E12" s="59"/>
      <c r="F12" s="95"/>
      <c r="G12" s="95"/>
      <c r="H12" s="35"/>
      <c r="I12" s="95"/>
      <c r="J12" s="95"/>
      <c r="K12" s="71"/>
      <c r="L12" s="95"/>
      <c r="M12" s="95"/>
      <c r="N12" s="26"/>
      <c r="O12" s="95"/>
      <c r="P12" s="38"/>
      <c r="Q12" s="84" t="str">
        <f t="shared" si="0"/>
        <v>-</v>
      </c>
      <c r="R12" s="679" t="str">
        <f t="shared" si="1"/>
        <v>-</v>
      </c>
      <c r="S12" s="86" t="str">
        <f t="shared" si="2"/>
        <v>-</v>
      </c>
      <c r="T12" s="85" t="str">
        <f t="shared" si="3"/>
        <v>-</v>
      </c>
      <c r="U12" s="86" t="str">
        <f t="shared" si="4"/>
        <v>-</v>
      </c>
    </row>
    <row r="13" spans="1:21" ht="20.25" customHeight="1" x14ac:dyDescent="0.25">
      <c r="B13" s="1"/>
      <c r="F13" s="96"/>
      <c r="G13" s="96"/>
      <c r="H13" s="96"/>
      <c r="I13" s="96"/>
      <c r="J13" s="96"/>
      <c r="K13" s="92"/>
      <c r="L13" s="96"/>
      <c r="M13" s="27"/>
      <c r="N13" s="26"/>
      <c r="O13" s="92"/>
      <c r="Q13" s="463"/>
      <c r="R13" s="463"/>
      <c r="S13" s="463"/>
      <c r="T13" s="463"/>
      <c r="U13" s="463"/>
    </row>
    <row r="14" spans="1:21" ht="24.95" customHeight="1" x14ac:dyDescent="0.25">
      <c r="B14" s="81" t="s">
        <v>25</v>
      </c>
      <c r="D14" s="82" t="s">
        <v>26</v>
      </c>
      <c r="F14" s="83"/>
      <c r="G14" s="83"/>
      <c r="H14" s="23"/>
      <c r="I14" s="235"/>
      <c r="J14" s="235"/>
      <c r="K14" s="25"/>
      <c r="L14" s="235"/>
      <c r="M14" s="235"/>
      <c r="N14" s="26"/>
      <c r="O14" s="83"/>
      <c r="Q14" s="84" t="str">
        <f t="shared" si="0"/>
        <v>-</v>
      </c>
      <c r="R14" s="85" t="str">
        <f t="shared" si="1"/>
        <v>-</v>
      </c>
      <c r="S14" s="86" t="str">
        <f t="shared" si="2"/>
        <v>-</v>
      </c>
      <c r="T14" s="84" t="str">
        <f t="shared" si="3"/>
        <v>-</v>
      </c>
      <c r="U14" s="86" t="str">
        <f t="shared" si="4"/>
        <v>-</v>
      </c>
    </row>
    <row r="15" spans="1:21" s="28" customFormat="1" ht="24.95" customHeight="1" x14ac:dyDescent="0.25">
      <c r="B15" s="87" t="s">
        <v>28</v>
      </c>
      <c r="D15" s="88" t="s">
        <v>26</v>
      </c>
      <c r="E15" s="7"/>
      <c r="F15" s="29"/>
      <c r="G15" s="29"/>
      <c r="H15" s="23"/>
      <c r="I15" s="30"/>
      <c r="J15" s="30"/>
      <c r="K15" s="25"/>
      <c r="L15" s="30"/>
      <c r="M15" s="30"/>
      <c r="N15" s="26"/>
      <c r="O15" s="29"/>
      <c r="Q15" s="43" t="str">
        <f t="shared" si="0"/>
        <v>-</v>
      </c>
      <c r="R15" s="44" t="str">
        <f t="shared" si="1"/>
        <v>-</v>
      </c>
      <c r="S15" s="45" t="str">
        <f t="shared" si="2"/>
        <v>-</v>
      </c>
      <c r="T15" s="43" t="str">
        <f t="shared" si="3"/>
        <v>-</v>
      </c>
      <c r="U15" s="45" t="str">
        <f t="shared" si="4"/>
        <v>-</v>
      </c>
    </row>
    <row r="16" spans="1:21" s="28" customFormat="1" ht="24.95" customHeight="1" x14ac:dyDescent="0.25">
      <c r="B16" s="87" t="s">
        <v>29</v>
      </c>
      <c r="D16" s="88" t="s">
        <v>26</v>
      </c>
      <c r="E16" s="7"/>
      <c r="F16" s="29"/>
      <c r="G16" s="29"/>
      <c r="H16" s="23"/>
      <c r="I16" s="30"/>
      <c r="J16" s="30"/>
      <c r="K16" s="25"/>
      <c r="L16" s="30"/>
      <c r="M16" s="30"/>
      <c r="N16" s="26"/>
      <c r="O16" s="29"/>
      <c r="Q16" s="43" t="str">
        <f t="shared" si="0"/>
        <v>-</v>
      </c>
      <c r="R16" s="44" t="str">
        <f t="shared" si="1"/>
        <v>-</v>
      </c>
      <c r="S16" s="45" t="str">
        <f t="shared" si="2"/>
        <v>-</v>
      </c>
      <c r="T16" s="43" t="str">
        <f t="shared" si="3"/>
        <v>-</v>
      </c>
      <c r="U16" s="45" t="str">
        <f t="shared" si="4"/>
        <v>-</v>
      </c>
    </row>
    <row r="17" spans="2:21" ht="24.95" customHeight="1" x14ac:dyDescent="0.25">
      <c r="B17" s="89" t="s">
        <v>30</v>
      </c>
      <c r="D17" s="90" t="s">
        <v>31</v>
      </c>
      <c r="F17" s="33"/>
      <c r="G17" s="33"/>
      <c r="H17" s="35"/>
      <c r="I17" s="250"/>
      <c r="J17" s="239"/>
      <c r="K17" s="138"/>
      <c r="L17" s="239"/>
      <c r="M17" s="239"/>
      <c r="N17" s="26"/>
      <c r="O17" s="33"/>
      <c r="P17" s="49"/>
      <c r="Q17" s="46" t="str">
        <f t="shared" si="0"/>
        <v>-</v>
      </c>
      <c r="R17" s="91" t="str">
        <f t="shared" si="1"/>
        <v>-</v>
      </c>
      <c r="S17" s="47" t="str">
        <f t="shared" si="2"/>
        <v>-</v>
      </c>
      <c r="T17" s="46" t="str">
        <f t="shared" si="3"/>
        <v>-</v>
      </c>
      <c r="U17" s="47" t="str">
        <f t="shared" si="4"/>
        <v>-</v>
      </c>
    </row>
    <row r="18" spans="2:21" s="59" customFormat="1" ht="6" customHeight="1" x14ac:dyDescent="0.25">
      <c r="B18" s="19"/>
      <c r="F18" s="72"/>
      <c r="G18" s="72"/>
      <c r="H18" s="72"/>
      <c r="I18" s="72"/>
      <c r="J18" s="139"/>
      <c r="K18" s="140"/>
      <c r="L18" s="139"/>
      <c r="M18" s="139"/>
      <c r="N18" s="26"/>
      <c r="O18" s="72"/>
      <c r="P18" s="75"/>
      <c r="Q18" s="91"/>
      <c r="R18" s="91"/>
      <c r="S18" s="91"/>
      <c r="T18" s="91"/>
      <c r="U18" s="91"/>
    </row>
    <row r="19" spans="2:21" ht="24.95" customHeight="1" x14ac:dyDescent="0.25">
      <c r="B19" s="97" t="s">
        <v>35</v>
      </c>
      <c r="D19" s="98" t="s">
        <v>33</v>
      </c>
      <c r="F19" s="99"/>
      <c r="G19" s="99"/>
      <c r="H19" s="36"/>
      <c r="I19" s="99"/>
      <c r="J19" s="99"/>
      <c r="K19" s="37"/>
      <c r="L19" s="99"/>
      <c r="M19" s="99"/>
      <c r="N19" s="26"/>
      <c r="O19" s="99"/>
      <c r="P19" s="38"/>
      <c r="Q19" s="464" t="str">
        <f t="shared" si="0"/>
        <v>-</v>
      </c>
      <c r="R19" s="463" t="str">
        <f t="shared" si="1"/>
        <v>-</v>
      </c>
      <c r="S19" s="465" t="str">
        <f t="shared" si="2"/>
        <v>-</v>
      </c>
      <c r="T19" s="464" t="str">
        <f t="shared" si="3"/>
        <v>-</v>
      </c>
      <c r="U19" s="465" t="str">
        <f t="shared" si="4"/>
        <v>-</v>
      </c>
    </row>
    <row r="20" spans="2:21" ht="9.6" customHeight="1" x14ac:dyDescent="0.25">
      <c r="F20" s="100"/>
      <c r="G20" s="100"/>
      <c r="H20" s="100"/>
      <c r="I20" s="101"/>
      <c r="J20" s="101"/>
      <c r="K20" s="102"/>
      <c r="L20" s="101"/>
      <c r="M20" s="101"/>
      <c r="N20" s="26"/>
      <c r="O20" s="102"/>
      <c r="P20" s="102"/>
      <c r="Q20" s="103"/>
      <c r="R20" s="103"/>
      <c r="S20" s="103"/>
      <c r="T20" s="103"/>
      <c r="U20" s="103"/>
    </row>
    <row r="21" spans="2:21" x14ac:dyDescent="0.25"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03"/>
    </row>
    <row r="22" spans="2:21" ht="26.25" x14ac:dyDescent="0.25">
      <c r="B22" s="616"/>
      <c r="C22" s="616"/>
      <c r="D22" s="616"/>
      <c r="E22" s="616"/>
      <c r="F22" s="616"/>
      <c r="G22" s="616"/>
      <c r="H22" s="616"/>
      <c r="I22" s="616"/>
      <c r="J22" s="616"/>
      <c r="K22" s="616"/>
      <c r="L22" s="616"/>
      <c r="M22" s="616"/>
      <c r="N22" s="616"/>
      <c r="O22" s="616"/>
      <c r="P22" s="616"/>
      <c r="Q22" s="616"/>
      <c r="R22" s="616"/>
      <c r="S22" s="103"/>
      <c r="T22" s="102"/>
      <c r="U22" s="102"/>
    </row>
    <row r="23" spans="2:21" x14ac:dyDescent="0.25"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02"/>
      <c r="R23" s="102"/>
      <c r="S23" s="102"/>
      <c r="T23" s="102"/>
      <c r="U23" s="102"/>
    </row>
    <row r="24" spans="2:21" x14ac:dyDescent="0.25"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6"/>
      <c r="S24" s="102"/>
      <c r="T24" s="102"/>
      <c r="U24" s="102"/>
    </row>
    <row r="25" spans="2:21" ht="12" customHeight="1" x14ac:dyDescent="0.25">
      <c r="F25" s="146"/>
      <c r="G25" s="146"/>
      <c r="H25" s="146"/>
      <c r="I25" s="146"/>
      <c r="J25" s="146"/>
      <c r="K25" s="146"/>
      <c r="L25" s="146"/>
      <c r="M25" s="146"/>
      <c r="N25" s="146"/>
      <c r="O25" s="146"/>
      <c r="P25" s="146"/>
      <c r="Q25" s="146"/>
      <c r="R25" s="146"/>
      <c r="S25" s="102"/>
      <c r="T25" s="102"/>
      <c r="U25" s="102"/>
    </row>
    <row r="26" spans="2:21" x14ac:dyDescent="0.25">
      <c r="F26" s="146"/>
      <c r="G26" s="146"/>
      <c r="H26" s="146"/>
      <c r="I26" s="146"/>
      <c r="J26" s="146"/>
      <c r="K26" s="146"/>
      <c r="L26" s="146"/>
      <c r="M26" s="146"/>
      <c r="N26" s="146"/>
      <c r="O26" s="146"/>
      <c r="P26" s="146"/>
      <c r="Q26" s="146"/>
    </row>
    <row r="27" spans="2:21" ht="20.25" customHeight="1" x14ac:dyDescent="0.25"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</row>
    <row r="28" spans="2:21" ht="20.25" customHeight="1" x14ac:dyDescent="0.25">
      <c r="B28" s="489"/>
      <c r="C28" s="489"/>
      <c r="D28" s="489"/>
      <c r="E28" s="489"/>
      <c r="F28" s="146"/>
      <c r="G28" s="146"/>
      <c r="H28" s="146"/>
      <c r="I28" s="146"/>
      <c r="J28" s="146"/>
      <c r="K28" s="146"/>
      <c r="L28" s="146"/>
      <c r="M28" s="146"/>
      <c r="N28" s="146"/>
      <c r="O28" s="146"/>
      <c r="P28" s="489"/>
      <c r="Q28" s="489"/>
      <c r="R28" s="489"/>
      <c r="S28" s="489"/>
      <c r="T28" s="489"/>
      <c r="U28" s="489"/>
    </row>
    <row r="29" spans="2:21" x14ac:dyDescent="0.25">
      <c r="F29" s="146"/>
      <c r="G29" s="146"/>
      <c r="H29" s="146"/>
      <c r="I29" s="146"/>
      <c r="J29" s="146"/>
      <c r="K29" s="146"/>
      <c r="L29" s="146"/>
      <c r="M29" s="146"/>
      <c r="N29" s="146"/>
      <c r="O29" s="146"/>
    </row>
    <row r="30" spans="2:21" x14ac:dyDescent="0.25">
      <c r="F30" s="146"/>
      <c r="G30" s="146"/>
      <c r="H30" s="146"/>
      <c r="I30" s="146"/>
      <c r="J30" s="146"/>
      <c r="K30" s="146"/>
      <c r="L30" s="146"/>
      <c r="M30" s="146"/>
      <c r="N30" s="146"/>
      <c r="O30" s="146"/>
    </row>
    <row r="31" spans="2:21" x14ac:dyDescent="0.25">
      <c r="F31" s="146"/>
      <c r="G31" s="146"/>
      <c r="H31" s="146"/>
      <c r="I31" s="146"/>
      <c r="J31" s="146"/>
      <c r="K31" s="146"/>
      <c r="L31" s="146"/>
      <c r="M31" s="146"/>
      <c r="N31" s="146"/>
      <c r="O31" s="146"/>
    </row>
    <row r="32" spans="2:21" x14ac:dyDescent="0.25">
      <c r="F32" s="146"/>
      <c r="G32" s="146"/>
      <c r="H32" s="146"/>
      <c r="I32" s="146"/>
      <c r="J32" s="146"/>
      <c r="K32" s="146"/>
      <c r="L32" s="146"/>
      <c r="M32" s="146"/>
      <c r="N32" s="146"/>
      <c r="O32" s="146"/>
    </row>
    <row r="33" spans="6:17" x14ac:dyDescent="0.25"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</row>
    <row r="34" spans="6:17" x14ac:dyDescent="0.25"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</row>
    <row r="35" spans="6:17" x14ac:dyDescent="0.25">
      <c r="F35" s="146"/>
      <c r="G35" s="146"/>
      <c r="H35" s="146"/>
      <c r="I35" s="146"/>
      <c r="J35" s="146"/>
      <c r="K35" s="146"/>
      <c r="L35" s="146"/>
      <c r="M35" s="146"/>
      <c r="N35" s="146"/>
      <c r="O35" s="146"/>
      <c r="P35" s="146"/>
      <c r="Q35" s="146"/>
    </row>
    <row r="36" spans="6:17" x14ac:dyDescent="0.25">
      <c r="F36" s="146"/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</row>
    <row r="37" spans="6:17" x14ac:dyDescent="0.25">
      <c r="F37" s="146"/>
      <c r="G37" s="146"/>
      <c r="H37" s="146"/>
      <c r="I37" s="146"/>
      <c r="J37" s="146"/>
      <c r="K37" s="146"/>
      <c r="L37" s="146"/>
      <c r="M37" s="146"/>
      <c r="N37" s="146"/>
      <c r="O37" s="146"/>
      <c r="P37" s="146"/>
      <c r="Q37" s="146"/>
    </row>
    <row r="38" spans="6:17" x14ac:dyDescent="0.25">
      <c r="F38" s="146"/>
      <c r="G38" s="146"/>
      <c r="H38" s="146"/>
      <c r="I38" s="146"/>
      <c r="J38" s="146"/>
      <c r="K38" s="146"/>
      <c r="L38" s="146"/>
      <c r="M38" s="146"/>
      <c r="N38" s="146"/>
      <c r="O38" s="146"/>
      <c r="P38" s="146"/>
      <c r="Q38" s="146"/>
    </row>
    <row r="39" spans="6:17" x14ac:dyDescent="0.25">
      <c r="F39" s="146"/>
      <c r="G39" s="146"/>
      <c r="H39" s="146"/>
      <c r="I39" s="146"/>
      <c r="J39" s="146"/>
      <c r="K39" s="146"/>
      <c r="L39" s="146"/>
      <c r="M39" s="146"/>
      <c r="N39" s="146"/>
      <c r="O39" s="146"/>
      <c r="P39" s="146"/>
    </row>
    <row r="40" spans="6:17" x14ac:dyDescent="0.25">
      <c r="F40" s="146"/>
      <c r="G40" s="146"/>
      <c r="H40" s="146"/>
      <c r="I40" s="146"/>
      <c r="J40" s="146"/>
      <c r="K40" s="146"/>
      <c r="L40" s="146"/>
      <c r="M40" s="146"/>
      <c r="N40" s="146"/>
      <c r="O40" s="146"/>
      <c r="P40" s="146"/>
    </row>
    <row r="41" spans="6:17" x14ac:dyDescent="0.25">
      <c r="F41" s="146"/>
      <c r="G41" s="146"/>
      <c r="H41" s="146"/>
      <c r="I41" s="146"/>
      <c r="J41" s="146"/>
      <c r="K41" s="146"/>
      <c r="L41" s="146"/>
      <c r="M41" s="146"/>
      <c r="N41" s="146"/>
      <c r="O41" s="146"/>
      <c r="P41" s="146"/>
    </row>
    <row r="42" spans="6:17" x14ac:dyDescent="0.25"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</row>
    <row r="43" spans="6:17" x14ac:dyDescent="0.25">
      <c r="F43" s="146"/>
      <c r="G43" s="146"/>
      <c r="H43" s="146"/>
      <c r="I43" s="146"/>
      <c r="J43" s="146"/>
      <c r="K43" s="146"/>
      <c r="L43" s="146"/>
      <c r="M43" s="146"/>
      <c r="N43" s="146"/>
      <c r="O43" s="146"/>
      <c r="P43" s="146"/>
    </row>
    <row r="44" spans="6:17" x14ac:dyDescent="0.25">
      <c r="F44" s="146"/>
      <c r="G44" s="146"/>
      <c r="H44" s="146"/>
      <c r="I44" s="146"/>
      <c r="J44" s="146"/>
      <c r="K44" s="146"/>
      <c r="L44" s="146"/>
      <c r="M44" s="146"/>
      <c r="N44" s="146"/>
      <c r="O44" s="146"/>
      <c r="P44" s="512"/>
    </row>
    <row r="45" spans="6:17" x14ac:dyDescent="0.25">
      <c r="F45" s="146"/>
      <c r="G45" s="146"/>
      <c r="H45" s="146"/>
      <c r="I45" s="146"/>
      <c r="J45" s="146"/>
      <c r="K45" s="146"/>
      <c r="L45" s="146"/>
      <c r="M45" s="146"/>
      <c r="N45" s="146"/>
      <c r="O45" s="146"/>
      <c r="P45" s="512"/>
    </row>
    <row r="46" spans="6:17" x14ac:dyDescent="0.25">
      <c r="F46" s="146"/>
      <c r="G46" s="146"/>
      <c r="H46" s="146"/>
      <c r="I46" s="146"/>
      <c r="J46" s="146"/>
      <c r="K46" s="146"/>
      <c r="L46" s="146"/>
      <c r="M46" s="146"/>
      <c r="N46" s="146"/>
      <c r="O46" s="146"/>
      <c r="P46" s="512"/>
    </row>
    <row r="47" spans="6:17" x14ac:dyDescent="0.25">
      <c r="F47" s="146"/>
      <c r="G47" s="146"/>
      <c r="H47" s="146"/>
      <c r="I47" s="146"/>
      <c r="J47" s="146"/>
      <c r="K47" s="146"/>
      <c r="L47" s="146"/>
      <c r="M47" s="146"/>
      <c r="N47" s="146"/>
      <c r="O47" s="146"/>
      <c r="P47" s="512"/>
    </row>
    <row r="48" spans="6:17" x14ac:dyDescent="0.25">
      <c r="F48" s="146"/>
      <c r="G48" s="146"/>
      <c r="H48" s="146"/>
      <c r="I48" s="146"/>
      <c r="J48" s="146"/>
      <c r="K48" s="146"/>
      <c r="L48" s="146"/>
      <c r="M48" s="146"/>
      <c r="N48" s="146"/>
      <c r="O48" s="146"/>
    </row>
    <row r="49" spans="6:15" x14ac:dyDescent="0.25">
      <c r="F49" s="146"/>
      <c r="G49" s="146"/>
      <c r="H49" s="146"/>
      <c r="I49" s="146"/>
      <c r="J49" s="146"/>
      <c r="K49" s="146"/>
      <c r="L49" s="146"/>
      <c r="M49" s="146"/>
      <c r="N49" s="146"/>
      <c r="O49" s="146"/>
    </row>
    <row r="50" spans="6:15" x14ac:dyDescent="0.25">
      <c r="F50" s="146"/>
      <c r="G50" s="146"/>
      <c r="H50" s="146"/>
      <c r="I50" s="146"/>
      <c r="J50" s="146"/>
      <c r="K50" s="146"/>
      <c r="L50" s="146"/>
      <c r="M50" s="146"/>
      <c r="N50" s="146"/>
      <c r="O50" s="146"/>
    </row>
    <row r="51" spans="6:15" x14ac:dyDescent="0.25">
      <c r="F51" s="146"/>
      <c r="G51" s="146"/>
      <c r="H51" s="146"/>
      <c r="I51" s="146"/>
      <c r="J51" s="146"/>
      <c r="K51" s="146"/>
      <c r="L51" s="146"/>
      <c r="M51" s="146"/>
      <c r="N51" s="146"/>
      <c r="O51" s="146"/>
    </row>
    <row r="52" spans="6:15" x14ac:dyDescent="0.25">
      <c r="F52" s="146"/>
      <c r="G52" s="146"/>
      <c r="H52" s="146"/>
      <c r="I52" s="146"/>
      <c r="J52" s="146"/>
      <c r="K52" s="146"/>
      <c r="L52" s="146"/>
      <c r="M52" s="146"/>
      <c r="N52" s="146"/>
      <c r="O52" s="146"/>
    </row>
    <row r="53" spans="6:15" x14ac:dyDescent="0.25">
      <c r="F53" s="146"/>
      <c r="G53" s="146"/>
      <c r="H53" s="146"/>
      <c r="I53" s="146"/>
      <c r="J53" s="146"/>
      <c r="K53" s="146"/>
      <c r="L53" s="146"/>
      <c r="M53" s="146"/>
      <c r="N53" s="146"/>
      <c r="O53" s="146"/>
    </row>
    <row r="54" spans="6:15" x14ac:dyDescent="0.25">
      <c r="F54" s="146"/>
      <c r="G54" s="146"/>
      <c r="H54" s="146"/>
      <c r="I54" s="146"/>
      <c r="J54" s="146"/>
      <c r="K54" s="146"/>
      <c r="L54" s="146"/>
      <c r="M54" s="146"/>
      <c r="N54" s="146"/>
      <c r="O54" s="146"/>
    </row>
    <row r="55" spans="6:15" x14ac:dyDescent="0.25">
      <c r="F55" s="146"/>
      <c r="G55" s="146"/>
      <c r="H55" s="146"/>
      <c r="I55" s="146"/>
      <c r="J55" s="146"/>
      <c r="K55" s="146"/>
      <c r="L55" s="146"/>
      <c r="M55" s="146"/>
      <c r="N55" s="146"/>
      <c r="O55" s="146"/>
    </row>
    <row r="56" spans="6:15" x14ac:dyDescent="0.25">
      <c r="F56" s="146"/>
      <c r="G56" s="146"/>
      <c r="H56" s="146"/>
      <c r="I56" s="146"/>
      <c r="J56" s="146"/>
      <c r="K56" s="146"/>
      <c r="L56" s="146"/>
      <c r="M56" s="146"/>
      <c r="N56" s="146"/>
      <c r="O56" s="146"/>
    </row>
    <row r="57" spans="6:15" x14ac:dyDescent="0.25">
      <c r="F57" s="146"/>
    </row>
    <row r="58" spans="6:15" x14ac:dyDescent="0.25">
      <c r="F58" s="146"/>
    </row>
    <row r="59" spans="6:15" x14ac:dyDescent="0.25">
      <c r="F59" s="146"/>
    </row>
    <row r="60" spans="6:15" x14ac:dyDescent="0.25">
      <c r="F60" s="146"/>
    </row>
    <row r="61" spans="6:15" x14ac:dyDescent="0.25">
      <c r="F61" s="146"/>
    </row>
    <row r="62" spans="6:15" x14ac:dyDescent="0.25">
      <c r="F62" s="146"/>
    </row>
    <row r="63" spans="6:15" x14ac:dyDescent="0.25">
      <c r="F63" s="146"/>
    </row>
    <row r="64" spans="6:15" x14ac:dyDescent="0.25">
      <c r="F64" s="146"/>
    </row>
  </sheetData>
  <mergeCells count="8">
    <mergeCell ref="B6:D6"/>
    <mergeCell ref="B2:U2"/>
    <mergeCell ref="F4:G4"/>
    <mergeCell ref="I4:J4"/>
    <mergeCell ref="L4:M4"/>
    <mergeCell ref="Q4:U4"/>
    <mergeCell ref="Q5:S5"/>
    <mergeCell ref="T5:U5"/>
  </mergeCell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74" orientation="landscape" r:id="rId1"/>
  <headerFooter>
    <oddFooter>&amp;LDCP SPE&amp;R&amp;P</oddFooter>
  </headerFooter>
  <customProperties>
    <customPr name="EpmWorksheetKeyString_GUID" r:id="rId2"/>
  </customProperties>
  <ignoredErrors>
    <ignoredError sqref="F6:O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48"/>
  <sheetViews>
    <sheetView showGridLines="0" view="pageBreakPreview" zoomScale="85" zoomScaleNormal="80" zoomScaleSheetLayoutView="85" workbookViewId="0">
      <selection activeCell="F7" sqref="F7:O20"/>
    </sheetView>
  </sheetViews>
  <sheetFormatPr baseColWidth="10" defaultColWidth="11.42578125" defaultRowHeight="14.25" x14ac:dyDescent="0.25"/>
  <cols>
    <col min="1" max="1" width="3.85546875" style="261" customWidth="1"/>
    <col min="2" max="2" width="27" style="260" customWidth="1"/>
    <col min="3" max="3" width="0.85546875" style="261" customWidth="1"/>
    <col min="4" max="4" width="10.7109375" style="135" customWidth="1"/>
    <col min="5" max="5" width="0.85546875" style="135" customWidth="1"/>
    <col min="6" max="6" width="15.7109375" style="135" customWidth="1"/>
    <col min="7" max="7" width="15.7109375" style="261" customWidth="1"/>
    <col min="8" max="8" width="0.85546875" style="261" customWidth="1"/>
    <col min="9" max="10" width="15.7109375" style="261" customWidth="1"/>
    <col min="11" max="11" width="0.85546875" style="261" customWidth="1"/>
    <col min="12" max="13" width="15.7109375" style="261" customWidth="1"/>
    <col min="14" max="14" width="0.85546875" style="261" customWidth="1"/>
    <col min="15" max="15" width="15.7109375" style="261" customWidth="1"/>
    <col min="16" max="16" width="0.85546875" style="261" customWidth="1"/>
    <col min="17" max="21" width="7.7109375" style="261" customWidth="1"/>
    <col min="22" max="154" width="11.42578125" style="261"/>
    <col min="155" max="155" width="4" style="261" customWidth="1"/>
    <col min="156" max="156" width="25.7109375" style="261" customWidth="1"/>
    <col min="157" max="157" width="0.85546875" style="261" customWidth="1"/>
    <col min="158" max="158" width="10.7109375" style="261" customWidth="1"/>
    <col min="159" max="159" width="0.85546875" style="261" customWidth="1"/>
    <col min="160" max="160" width="14.7109375" style="261" customWidth="1"/>
    <col min="161" max="161" width="17.85546875" style="261" customWidth="1"/>
    <col min="162" max="162" width="0.85546875" style="261" customWidth="1"/>
    <col min="163" max="164" width="14.7109375" style="261" customWidth="1"/>
    <col min="165" max="165" width="0.85546875" style="261" customWidth="1"/>
    <col min="166" max="167" width="14.7109375" style="261" customWidth="1"/>
    <col min="168" max="168" width="0.85546875" style="261" customWidth="1"/>
    <col min="169" max="169" width="14.7109375" style="261" customWidth="1"/>
    <col min="170" max="170" width="0.85546875" style="261" customWidth="1"/>
    <col min="171" max="175" width="6.7109375" style="261" customWidth="1"/>
    <col min="176" max="410" width="11.42578125" style="261"/>
    <col min="411" max="411" width="4" style="261" customWidth="1"/>
    <col min="412" max="412" width="25.7109375" style="261" customWidth="1"/>
    <col min="413" max="413" width="0.85546875" style="261" customWidth="1"/>
    <col min="414" max="414" width="10.7109375" style="261" customWidth="1"/>
    <col min="415" max="415" width="0.85546875" style="261" customWidth="1"/>
    <col min="416" max="416" width="14.7109375" style="261" customWidth="1"/>
    <col min="417" max="417" width="17.85546875" style="261" customWidth="1"/>
    <col min="418" max="418" width="0.85546875" style="261" customWidth="1"/>
    <col min="419" max="420" width="14.7109375" style="261" customWidth="1"/>
    <col min="421" max="421" width="0.85546875" style="261" customWidth="1"/>
    <col min="422" max="423" width="14.7109375" style="261" customWidth="1"/>
    <col min="424" max="424" width="0.85546875" style="261" customWidth="1"/>
    <col min="425" max="425" width="14.7109375" style="261" customWidth="1"/>
    <col min="426" max="426" width="0.85546875" style="261" customWidth="1"/>
    <col min="427" max="431" width="6.7109375" style="261" customWidth="1"/>
    <col min="432" max="666" width="11.42578125" style="261"/>
    <col min="667" max="667" width="4" style="261" customWidth="1"/>
    <col min="668" max="668" width="25.7109375" style="261" customWidth="1"/>
    <col min="669" max="669" width="0.85546875" style="261" customWidth="1"/>
    <col min="670" max="670" width="10.7109375" style="261" customWidth="1"/>
    <col min="671" max="671" width="0.85546875" style="261" customWidth="1"/>
    <col min="672" max="672" width="14.7109375" style="261" customWidth="1"/>
    <col min="673" max="673" width="17.85546875" style="261" customWidth="1"/>
    <col min="674" max="674" width="0.85546875" style="261" customWidth="1"/>
    <col min="675" max="676" width="14.7109375" style="261" customWidth="1"/>
    <col min="677" max="677" width="0.85546875" style="261" customWidth="1"/>
    <col min="678" max="679" width="14.7109375" style="261" customWidth="1"/>
    <col min="680" max="680" width="0.85546875" style="261" customWidth="1"/>
    <col min="681" max="681" width="14.7109375" style="261" customWidth="1"/>
    <col min="682" max="682" width="0.85546875" style="261" customWidth="1"/>
    <col min="683" max="687" width="6.7109375" style="261" customWidth="1"/>
    <col min="688" max="922" width="11.42578125" style="261"/>
    <col min="923" max="923" width="4" style="261" customWidth="1"/>
    <col min="924" max="924" width="25.7109375" style="261" customWidth="1"/>
    <col min="925" max="925" width="0.85546875" style="261" customWidth="1"/>
    <col min="926" max="926" width="10.7109375" style="261" customWidth="1"/>
    <col min="927" max="927" width="0.85546875" style="261" customWidth="1"/>
    <col min="928" max="928" width="14.7109375" style="261" customWidth="1"/>
    <col min="929" max="929" width="17.85546875" style="261" customWidth="1"/>
    <col min="930" max="930" width="0.85546875" style="261" customWidth="1"/>
    <col min="931" max="932" width="14.7109375" style="261" customWidth="1"/>
    <col min="933" max="933" width="0.85546875" style="261" customWidth="1"/>
    <col min="934" max="935" width="14.7109375" style="261" customWidth="1"/>
    <col min="936" max="936" width="0.85546875" style="261" customWidth="1"/>
    <col min="937" max="937" width="14.7109375" style="261" customWidth="1"/>
    <col min="938" max="938" width="0.85546875" style="261" customWidth="1"/>
    <col min="939" max="943" width="6.7109375" style="261" customWidth="1"/>
    <col min="944" max="1178" width="11.42578125" style="261"/>
    <col min="1179" max="1179" width="4" style="261" customWidth="1"/>
    <col min="1180" max="1180" width="25.7109375" style="261" customWidth="1"/>
    <col min="1181" max="1181" width="0.85546875" style="261" customWidth="1"/>
    <col min="1182" max="1182" width="10.7109375" style="261" customWidth="1"/>
    <col min="1183" max="1183" width="0.85546875" style="261" customWidth="1"/>
    <col min="1184" max="1184" width="14.7109375" style="261" customWidth="1"/>
    <col min="1185" max="1185" width="17.85546875" style="261" customWidth="1"/>
    <col min="1186" max="1186" width="0.85546875" style="261" customWidth="1"/>
    <col min="1187" max="1188" width="14.7109375" style="261" customWidth="1"/>
    <col min="1189" max="1189" width="0.85546875" style="261" customWidth="1"/>
    <col min="1190" max="1191" width="14.7109375" style="261" customWidth="1"/>
    <col min="1192" max="1192" width="0.85546875" style="261" customWidth="1"/>
    <col min="1193" max="1193" width="14.7109375" style="261" customWidth="1"/>
    <col min="1194" max="1194" width="0.85546875" style="261" customWidth="1"/>
    <col min="1195" max="1199" width="6.7109375" style="261" customWidth="1"/>
    <col min="1200" max="1434" width="11.42578125" style="261"/>
    <col min="1435" max="1435" width="4" style="261" customWidth="1"/>
    <col min="1436" max="1436" width="25.7109375" style="261" customWidth="1"/>
    <col min="1437" max="1437" width="0.85546875" style="261" customWidth="1"/>
    <col min="1438" max="1438" width="10.7109375" style="261" customWidth="1"/>
    <col min="1439" max="1439" width="0.85546875" style="261" customWidth="1"/>
    <col min="1440" max="1440" width="14.7109375" style="261" customWidth="1"/>
    <col min="1441" max="1441" width="17.85546875" style="261" customWidth="1"/>
    <col min="1442" max="1442" width="0.85546875" style="261" customWidth="1"/>
    <col min="1443" max="1444" width="14.7109375" style="261" customWidth="1"/>
    <col min="1445" max="1445" width="0.85546875" style="261" customWidth="1"/>
    <col min="1446" max="1447" width="14.7109375" style="261" customWidth="1"/>
    <col min="1448" max="1448" width="0.85546875" style="261" customWidth="1"/>
    <col min="1449" max="1449" width="14.7109375" style="261" customWidth="1"/>
    <col min="1450" max="1450" width="0.85546875" style="261" customWidth="1"/>
    <col min="1451" max="1455" width="6.7109375" style="261" customWidth="1"/>
    <col min="1456" max="1690" width="11.42578125" style="261"/>
    <col min="1691" max="1691" width="4" style="261" customWidth="1"/>
    <col min="1692" max="1692" width="25.7109375" style="261" customWidth="1"/>
    <col min="1693" max="1693" width="0.85546875" style="261" customWidth="1"/>
    <col min="1694" max="1694" width="10.7109375" style="261" customWidth="1"/>
    <col min="1695" max="1695" width="0.85546875" style="261" customWidth="1"/>
    <col min="1696" max="1696" width="14.7109375" style="261" customWidth="1"/>
    <col min="1697" max="1697" width="17.85546875" style="261" customWidth="1"/>
    <col min="1698" max="1698" width="0.85546875" style="261" customWidth="1"/>
    <col min="1699" max="1700" width="14.7109375" style="261" customWidth="1"/>
    <col min="1701" max="1701" width="0.85546875" style="261" customWidth="1"/>
    <col min="1702" max="1703" width="14.7109375" style="261" customWidth="1"/>
    <col min="1704" max="1704" width="0.85546875" style="261" customWidth="1"/>
    <col min="1705" max="1705" width="14.7109375" style="261" customWidth="1"/>
    <col min="1706" max="1706" width="0.85546875" style="261" customWidth="1"/>
    <col min="1707" max="1711" width="6.7109375" style="261" customWidth="1"/>
    <col min="1712" max="1946" width="11.42578125" style="261"/>
    <col min="1947" max="1947" width="4" style="261" customWidth="1"/>
    <col min="1948" max="1948" width="25.7109375" style="261" customWidth="1"/>
    <col min="1949" max="1949" width="0.85546875" style="261" customWidth="1"/>
    <col min="1950" max="1950" width="10.7109375" style="261" customWidth="1"/>
    <col min="1951" max="1951" width="0.85546875" style="261" customWidth="1"/>
    <col min="1952" max="1952" width="14.7109375" style="261" customWidth="1"/>
    <col min="1953" max="1953" width="17.85546875" style="261" customWidth="1"/>
    <col min="1954" max="1954" width="0.85546875" style="261" customWidth="1"/>
    <col min="1955" max="1956" width="14.7109375" style="261" customWidth="1"/>
    <col min="1957" max="1957" width="0.85546875" style="261" customWidth="1"/>
    <col min="1958" max="1959" width="14.7109375" style="261" customWidth="1"/>
    <col min="1960" max="1960" width="0.85546875" style="261" customWidth="1"/>
    <col min="1961" max="1961" width="14.7109375" style="261" customWidth="1"/>
    <col min="1962" max="1962" width="0.85546875" style="261" customWidth="1"/>
    <col min="1963" max="1967" width="6.7109375" style="261" customWidth="1"/>
    <col min="1968" max="2202" width="11.42578125" style="261"/>
    <col min="2203" max="2203" width="4" style="261" customWidth="1"/>
    <col min="2204" max="2204" width="25.7109375" style="261" customWidth="1"/>
    <col min="2205" max="2205" width="0.85546875" style="261" customWidth="1"/>
    <col min="2206" max="2206" width="10.7109375" style="261" customWidth="1"/>
    <col min="2207" max="2207" width="0.85546875" style="261" customWidth="1"/>
    <col min="2208" max="2208" width="14.7109375" style="261" customWidth="1"/>
    <col min="2209" max="2209" width="17.85546875" style="261" customWidth="1"/>
    <col min="2210" max="2210" width="0.85546875" style="261" customWidth="1"/>
    <col min="2211" max="2212" width="14.7109375" style="261" customWidth="1"/>
    <col min="2213" max="2213" width="0.85546875" style="261" customWidth="1"/>
    <col min="2214" max="2215" width="14.7109375" style="261" customWidth="1"/>
    <col min="2216" max="2216" width="0.85546875" style="261" customWidth="1"/>
    <col min="2217" max="2217" width="14.7109375" style="261" customWidth="1"/>
    <col min="2218" max="2218" width="0.85546875" style="261" customWidth="1"/>
    <col min="2219" max="2223" width="6.7109375" style="261" customWidth="1"/>
    <col min="2224" max="2458" width="11.42578125" style="261"/>
    <col min="2459" max="2459" width="4" style="261" customWidth="1"/>
    <col min="2460" max="2460" width="25.7109375" style="261" customWidth="1"/>
    <col min="2461" max="2461" width="0.85546875" style="261" customWidth="1"/>
    <col min="2462" max="2462" width="10.7109375" style="261" customWidth="1"/>
    <col min="2463" max="2463" width="0.85546875" style="261" customWidth="1"/>
    <col min="2464" max="2464" width="14.7109375" style="261" customWidth="1"/>
    <col min="2465" max="2465" width="17.85546875" style="261" customWidth="1"/>
    <col min="2466" max="2466" width="0.85546875" style="261" customWidth="1"/>
    <col min="2467" max="2468" width="14.7109375" style="261" customWidth="1"/>
    <col min="2469" max="2469" width="0.85546875" style="261" customWidth="1"/>
    <col min="2470" max="2471" width="14.7109375" style="261" customWidth="1"/>
    <col min="2472" max="2472" width="0.85546875" style="261" customWidth="1"/>
    <col min="2473" max="2473" width="14.7109375" style="261" customWidth="1"/>
    <col min="2474" max="2474" width="0.85546875" style="261" customWidth="1"/>
    <col min="2475" max="2479" width="6.7109375" style="261" customWidth="1"/>
    <col min="2480" max="2714" width="11.42578125" style="261"/>
    <col min="2715" max="2715" width="4" style="261" customWidth="1"/>
    <col min="2716" max="2716" width="25.7109375" style="261" customWidth="1"/>
    <col min="2717" max="2717" width="0.85546875" style="261" customWidth="1"/>
    <col min="2718" max="2718" width="10.7109375" style="261" customWidth="1"/>
    <col min="2719" max="2719" width="0.85546875" style="261" customWidth="1"/>
    <col min="2720" max="2720" width="14.7109375" style="261" customWidth="1"/>
    <col min="2721" max="2721" width="17.85546875" style="261" customWidth="1"/>
    <col min="2722" max="2722" width="0.85546875" style="261" customWidth="1"/>
    <col min="2723" max="2724" width="14.7109375" style="261" customWidth="1"/>
    <col min="2725" max="2725" width="0.85546875" style="261" customWidth="1"/>
    <col min="2726" max="2727" width="14.7109375" style="261" customWidth="1"/>
    <col min="2728" max="2728" width="0.85546875" style="261" customWidth="1"/>
    <col min="2729" max="2729" width="14.7109375" style="261" customWidth="1"/>
    <col min="2730" max="2730" width="0.85546875" style="261" customWidth="1"/>
    <col min="2731" max="2735" width="6.7109375" style="261" customWidth="1"/>
    <col min="2736" max="2970" width="11.42578125" style="261"/>
    <col min="2971" max="2971" width="4" style="261" customWidth="1"/>
    <col min="2972" max="2972" width="25.7109375" style="261" customWidth="1"/>
    <col min="2973" max="2973" width="0.85546875" style="261" customWidth="1"/>
    <col min="2974" max="2974" width="10.7109375" style="261" customWidth="1"/>
    <col min="2975" max="2975" width="0.85546875" style="261" customWidth="1"/>
    <col min="2976" max="2976" width="14.7109375" style="261" customWidth="1"/>
    <col min="2977" max="2977" width="17.85546875" style="261" customWidth="1"/>
    <col min="2978" max="2978" width="0.85546875" style="261" customWidth="1"/>
    <col min="2979" max="2980" width="14.7109375" style="261" customWidth="1"/>
    <col min="2981" max="2981" width="0.85546875" style="261" customWidth="1"/>
    <col min="2982" max="2983" width="14.7109375" style="261" customWidth="1"/>
    <col min="2984" max="2984" width="0.85546875" style="261" customWidth="1"/>
    <col min="2985" max="2985" width="14.7109375" style="261" customWidth="1"/>
    <col min="2986" max="2986" width="0.85546875" style="261" customWidth="1"/>
    <col min="2987" max="2991" width="6.7109375" style="261" customWidth="1"/>
    <col min="2992" max="3226" width="11.42578125" style="261"/>
    <col min="3227" max="3227" width="4" style="261" customWidth="1"/>
    <col min="3228" max="3228" width="25.7109375" style="261" customWidth="1"/>
    <col min="3229" max="3229" width="0.85546875" style="261" customWidth="1"/>
    <col min="3230" max="3230" width="10.7109375" style="261" customWidth="1"/>
    <col min="3231" max="3231" width="0.85546875" style="261" customWidth="1"/>
    <col min="3232" max="3232" width="14.7109375" style="261" customWidth="1"/>
    <col min="3233" max="3233" width="17.85546875" style="261" customWidth="1"/>
    <col min="3234" max="3234" width="0.85546875" style="261" customWidth="1"/>
    <col min="3235" max="3236" width="14.7109375" style="261" customWidth="1"/>
    <col min="3237" max="3237" width="0.85546875" style="261" customWidth="1"/>
    <col min="3238" max="3239" width="14.7109375" style="261" customWidth="1"/>
    <col min="3240" max="3240" width="0.85546875" style="261" customWidth="1"/>
    <col min="3241" max="3241" width="14.7109375" style="261" customWidth="1"/>
    <col min="3242" max="3242" width="0.85546875" style="261" customWidth="1"/>
    <col min="3243" max="3247" width="6.7109375" style="261" customWidth="1"/>
    <col min="3248" max="3482" width="11.42578125" style="261"/>
    <col min="3483" max="3483" width="4" style="261" customWidth="1"/>
    <col min="3484" max="3484" width="25.7109375" style="261" customWidth="1"/>
    <col min="3485" max="3485" width="0.85546875" style="261" customWidth="1"/>
    <col min="3486" max="3486" width="10.7109375" style="261" customWidth="1"/>
    <col min="3487" max="3487" width="0.85546875" style="261" customWidth="1"/>
    <col min="3488" max="3488" width="14.7109375" style="261" customWidth="1"/>
    <col min="3489" max="3489" width="17.85546875" style="261" customWidth="1"/>
    <col min="3490" max="3490" width="0.85546875" style="261" customWidth="1"/>
    <col min="3491" max="3492" width="14.7109375" style="261" customWidth="1"/>
    <col min="3493" max="3493" width="0.85546875" style="261" customWidth="1"/>
    <col min="3494" max="3495" width="14.7109375" style="261" customWidth="1"/>
    <col min="3496" max="3496" width="0.85546875" style="261" customWidth="1"/>
    <col min="3497" max="3497" width="14.7109375" style="261" customWidth="1"/>
    <col min="3498" max="3498" width="0.85546875" style="261" customWidth="1"/>
    <col min="3499" max="3503" width="6.7109375" style="261" customWidth="1"/>
    <col min="3504" max="3738" width="11.42578125" style="261"/>
    <col min="3739" max="3739" width="4" style="261" customWidth="1"/>
    <col min="3740" max="3740" width="25.7109375" style="261" customWidth="1"/>
    <col min="3741" max="3741" width="0.85546875" style="261" customWidth="1"/>
    <col min="3742" max="3742" width="10.7109375" style="261" customWidth="1"/>
    <col min="3743" max="3743" width="0.85546875" style="261" customWidth="1"/>
    <col min="3744" max="3744" width="14.7109375" style="261" customWidth="1"/>
    <col min="3745" max="3745" width="17.85546875" style="261" customWidth="1"/>
    <col min="3746" max="3746" width="0.85546875" style="261" customWidth="1"/>
    <col min="3747" max="3748" width="14.7109375" style="261" customWidth="1"/>
    <col min="3749" max="3749" width="0.85546875" style="261" customWidth="1"/>
    <col min="3750" max="3751" width="14.7109375" style="261" customWidth="1"/>
    <col min="3752" max="3752" width="0.85546875" style="261" customWidth="1"/>
    <col min="3753" max="3753" width="14.7109375" style="261" customWidth="1"/>
    <col min="3754" max="3754" width="0.85546875" style="261" customWidth="1"/>
    <col min="3755" max="3759" width="6.7109375" style="261" customWidth="1"/>
    <col min="3760" max="3994" width="11.42578125" style="261"/>
    <col min="3995" max="3995" width="4" style="261" customWidth="1"/>
    <col min="3996" max="3996" width="25.7109375" style="261" customWidth="1"/>
    <col min="3997" max="3997" width="0.85546875" style="261" customWidth="1"/>
    <col min="3998" max="3998" width="10.7109375" style="261" customWidth="1"/>
    <col min="3999" max="3999" width="0.85546875" style="261" customWidth="1"/>
    <col min="4000" max="4000" width="14.7109375" style="261" customWidth="1"/>
    <col min="4001" max="4001" width="17.85546875" style="261" customWidth="1"/>
    <col min="4002" max="4002" width="0.85546875" style="261" customWidth="1"/>
    <col min="4003" max="4004" width="14.7109375" style="261" customWidth="1"/>
    <col min="4005" max="4005" width="0.85546875" style="261" customWidth="1"/>
    <col min="4006" max="4007" width="14.7109375" style="261" customWidth="1"/>
    <col min="4008" max="4008" width="0.85546875" style="261" customWidth="1"/>
    <col min="4009" max="4009" width="14.7109375" style="261" customWidth="1"/>
    <col min="4010" max="4010" width="0.85546875" style="261" customWidth="1"/>
    <col min="4011" max="4015" width="6.7109375" style="261" customWidth="1"/>
    <col min="4016" max="4250" width="11.42578125" style="261"/>
    <col min="4251" max="4251" width="4" style="261" customWidth="1"/>
    <col min="4252" max="4252" width="25.7109375" style="261" customWidth="1"/>
    <col min="4253" max="4253" width="0.85546875" style="261" customWidth="1"/>
    <col min="4254" max="4254" width="10.7109375" style="261" customWidth="1"/>
    <col min="4255" max="4255" width="0.85546875" style="261" customWidth="1"/>
    <col min="4256" max="4256" width="14.7109375" style="261" customWidth="1"/>
    <col min="4257" max="4257" width="17.85546875" style="261" customWidth="1"/>
    <col min="4258" max="4258" width="0.85546875" style="261" customWidth="1"/>
    <col min="4259" max="4260" width="14.7109375" style="261" customWidth="1"/>
    <col min="4261" max="4261" width="0.85546875" style="261" customWidth="1"/>
    <col min="4262" max="4263" width="14.7109375" style="261" customWidth="1"/>
    <col min="4264" max="4264" width="0.85546875" style="261" customWidth="1"/>
    <col min="4265" max="4265" width="14.7109375" style="261" customWidth="1"/>
    <col min="4266" max="4266" width="0.85546875" style="261" customWidth="1"/>
    <col min="4267" max="4271" width="6.7109375" style="261" customWidth="1"/>
    <col min="4272" max="4506" width="11.42578125" style="261"/>
    <col min="4507" max="4507" width="4" style="261" customWidth="1"/>
    <col min="4508" max="4508" width="25.7109375" style="261" customWidth="1"/>
    <col min="4509" max="4509" width="0.85546875" style="261" customWidth="1"/>
    <col min="4510" max="4510" width="10.7109375" style="261" customWidth="1"/>
    <col min="4511" max="4511" width="0.85546875" style="261" customWidth="1"/>
    <col min="4512" max="4512" width="14.7109375" style="261" customWidth="1"/>
    <col min="4513" max="4513" width="17.85546875" style="261" customWidth="1"/>
    <col min="4514" max="4514" width="0.85546875" style="261" customWidth="1"/>
    <col min="4515" max="4516" width="14.7109375" style="261" customWidth="1"/>
    <col min="4517" max="4517" width="0.85546875" style="261" customWidth="1"/>
    <col min="4518" max="4519" width="14.7109375" style="261" customWidth="1"/>
    <col min="4520" max="4520" width="0.85546875" style="261" customWidth="1"/>
    <col min="4521" max="4521" width="14.7109375" style="261" customWidth="1"/>
    <col min="4522" max="4522" width="0.85546875" style="261" customWidth="1"/>
    <col min="4523" max="4527" width="6.7109375" style="261" customWidth="1"/>
    <col min="4528" max="4762" width="11.42578125" style="261"/>
    <col min="4763" max="4763" width="4" style="261" customWidth="1"/>
    <col min="4764" max="4764" width="25.7109375" style="261" customWidth="1"/>
    <col min="4765" max="4765" width="0.85546875" style="261" customWidth="1"/>
    <col min="4766" max="4766" width="10.7109375" style="261" customWidth="1"/>
    <col min="4767" max="4767" width="0.85546875" style="261" customWidth="1"/>
    <col min="4768" max="4768" width="14.7109375" style="261" customWidth="1"/>
    <col min="4769" max="4769" width="17.85546875" style="261" customWidth="1"/>
    <col min="4770" max="4770" width="0.85546875" style="261" customWidth="1"/>
    <col min="4771" max="4772" width="14.7109375" style="261" customWidth="1"/>
    <col min="4773" max="4773" width="0.85546875" style="261" customWidth="1"/>
    <col min="4774" max="4775" width="14.7109375" style="261" customWidth="1"/>
    <col min="4776" max="4776" width="0.85546875" style="261" customWidth="1"/>
    <col min="4777" max="4777" width="14.7109375" style="261" customWidth="1"/>
    <col min="4778" max="4778" width="0.85546875" style="261" customWidth="1"/>
    <col min="4779" max="4783" width="6.7109375" style="261" customWidth="1"/>
    <col min="4784" max="5018" width="11.42578125" style="261"/>
    <col min="5019" max="5019" width="4" style="261" customWidth="1"/>
    <col min="5020" max="5020" width="25.7109375" style="261" customWidth="1"/>
    <col min="5021" max="5021" width="0.85546875" style="261" customWidth="1"/>
    <col min="5022" max="5022" width="10.7109375" style="261" customWidth="1"/>
    <col min="5023" max="5023" width="0.85546875" style="261" customWidth="1"/>
    <col min="5024" max="5024" width="14.7109375" style="261" customWidth="1"/>
    <col min="5025" max="5025" width="17.85546875" style="261" customWidth="1"/>
    <col min="5026" max="5026" width="0.85546875" style="261" customWidth="1"/>
    <col min="5027" max="5028" width="14.7109375" style="261" customWidth="1"/>
    <col min="5029" max="5029" width="0.85546875" style="261" customWidth="1"/>
    <col min="5030" max="5031" width="14.7109375" style="261" customWidth="1"/>
    <col min="5032" max="5032" width="0.85546875" style="261" customWidth="1"/>
    <col min="5033" max="5033" width="14.7109375" style="261" customWidth="1"/>
    <col min="5034" max="5034" width="0.85546875" style="261" customWidth="1"/>
    <col min="5035" max="5039" width="6.7109375" style="261" customWidth="1"/>
    <col min="5040" max="5274" width="11.42578125" style="261"/>
    <col min="5275" max="5275" width="4" style="261" customWidth="1"/>
    <col min="5276" max="5276" width="25.7109375" style="261" customWidth="1"/>
    <col min="5277" max="5277" width="0.85546875" style="261" customWidth="1"/>
    <col min="5278" max="5278" width="10.7109375" style="261" customWidth="1"/>
    <col min="5279" max="5279" width="0.85546875" style="261" customWidth="1"/>
    <col min="5280" max="5280" width="14.7109375" style="261" customWidth="1"/>
    <col min="5281" max="5281" width="17.85546875" style="261" customWidth="1"/>
    <col min="5282" max="5282" width="0.85546875" style="261" customWidth="1"/>
    <col min="5283" max="5284" width="14.7109375" style="261" customWidth="1"/>
    <col min="5285" max="5285" width="0.85546875" style="261" customWidth="1"/>
    <col min="5286" max="5287" width="14.7109375" style="261" customWidth="1"/>
    <col min="5288" max="5288" width="0.85546875" style="261" customWidth="1"/>
    <col min="5289" max="5289" width="14.7109375" style="261" customWidth="1"/>
    <col min="5290" max="5290" width="0.85546875" style="261" customWidth="1"/>
    <col min="5291" max="5295" width="6.7109375" style="261" customWidth="1"/>
    <col min="5296" max="5530" width="11.42578125" style="261"/>
    <col min="5531" max="5531" width="4" style="261" customWidth="1"/>
    <col min="5532" max="5532" width="25.7109375" style="261" customWidth="1"/>
    <col min="5533" max="5533" width="0.85546875" style="261" customWidth="1"/>
    <col min="5534" max="5534" width="10.7109375" style="261" customWidth="1"/>
    <col min="5535" max="5535" width="0.85546875" style="261" customWidth="1"/>
    <col min="5536" max="5536" width="14.7109375" style="261" customWidth="1"/>
    <col min="5537" max="5537" width="17.85546875" style="261" customWidth="1"/>
    <col min="5538" max="5538" width="0.85546875" style="261" customWidth="1"/>
    <col min="5539" max="5540" width="14.7109375" style="261" customWidth="1"/>
    <col min="5541" max="5541" width="0.85546875" style="261" customWidth="1"/>
    <col min="5542" max="5543" width="14.7109375" style="261" customWidth="1"/>
    <col min="5544" max="5544" width="0.85546875" style="261" customWidth="1"/>
    <col min="5545" max="5545" width="14.7109375" style="261" customWidth="1"/>
    <col min="5546" max="5546" width="0.85546875" style="261" customWidth="1"/>
    <col min="5547" max="5551" width="6.7109375" style="261" customWidth="1"/>
    <col min="5552" max="5786" width="11.42578125" style="261"/>
    <col min="5787" max="5787" width="4" style="261" customWidth="1"/>
    <col min="5788" max="5788" width="25.7109375" style="261" customWidth="1"/>
    <col min="5789" max="5789" width="0.85546875" style="261" customWidth="1"/>
    <col min="5790" max="5790" width="10.7109375" style="261" customWidth="1"/>
    <col min="5791" max="5791" width="0.85546875" style="261" customWidth="1"/>
    <col min="5792" max="5792" width="14.7109375" style="261" customWidth="1"/>
    <col min="5793" max="5793" width="17.85546875" style="261" customWidth="1"/>
    <col min="5794" max="5794" width="0.85546875" style="261" customWidth="1"/>
    <col min="5795" max="5796" width="14.7109375" style="261" customWidth="1"/>
    <col min="5797" max="5797" width="0.85546875" style="261" customWidth="1"/>
    <col min="5798" max="5799" width="14.7109375" style="261" customWidth="1"/>
    <col min="5800" max="5800" width="0.85546875" style="261" customWidth="1"/>
    <col min="5801" max="5801" width="14.7109375" style="261" customWidth="1"/>
    <col min="5802" max="5802" width="0.85546875" style="261" customWidth="1"/>
    <col min="5803" max="5807" width="6.7109375" style="261" customWidth="1"/>
    <col min="5808" max="6042" width="11.42578125" style="261"/>
    <col min="6043" max="6043" width="4" style="261" customWidth="1"/>
    <col min="6044" max="6044" width="25.7109375" style="261" customWidth="1"/>
    <col min="6045" max="6045" width="0.85546875" style="261" customWidth="1"/>
    <col min="6046" max="6046" width="10.7109375" style="261" customWidth="1"/>
    <col min="6047" max="6047" width="0.85546875" style="261" customWidth="1"/>
    <col min="6048" max="6048" width="14.7109375" style="261" customWidth="1"/>
    <col min="6049" max="6049" width="17.85546875" style="261" customWidth="1"/>
    <col min="6050" max="6050" width="0.85546875" style="261" customWidth="1"/>
    <col min="6051" max="6052" width="14.7109375" style="261" customWidth="1"/>
    <col min="6053" max="6053" width="0.85546875" style="261" customWidth="1"/>
    <col min="6054" max="6055" width="14.7109375" style="261" customWidth="1"/>
    <col min="6056" max="6056" width="0.85546875" style="261" customWidth="1"/>
    <col min="6057" max="6057" width="14.7109375" style="261" customWidth="1"/>
    <col min="6058" max="6058" width="0.85546875" style="261" customWidth="1"/>
    <col min="6059" max="6063" width="6.7109375" style="261" customWidth="1"/>
    <col min="6064" max="6298" width="11.42578125" style="261"/>
    <col min="6299" max="6299" width="4" style="261" customWidth="1"/>
    <col min="6300" max="6300" width="25.7109375" style="261" customWidth="1"/>
    <col min="6301" max="6301" width="0.85546875" style="261" customWidth="1"/>
    <col min="6302" max="6302" width="10.7109375" style="261" customWidth="1"/>
    <col min="6303" max="6303" width="0.85546875" style="261" customWidth="1"/>
    <col min="6304" max="6304" width="14.7109375" style="261" customWidth="1"/>
    <col min="6305" max="6305" width="17.85546875" style="261" customWidth="1"/>
    <col min="6306" max="6306" width="0.85546875" style="261" customWidth="1"/>
    <col min="6307" max="6308" width="14.7109375" style="261" customWidth="1"/>
    <col min="6309" max="6309" width="0.85546875" style="261" customWidth="1"/>
    <col min="6310" max="6311" width="14.7109375" style="261" customWidth="1"/>
    <col min="6312" max="6312" width="0.85546875" style="261" customWidth="1"/>
    <col min="6313" max="6313" width="14.7109375" style="261" customWidth="1"/>
    <col min="6314" max="6314" width="0.85546875" style="261" customWidth="1"/>
    <col min="6315" max="6319" width="6.7109375" style="261" customWidth="1"/>
    <col min="6320" max="6554" width="11.42578125" style="261"/>
    <col min="6555" max="6555" width="4" style="261" customWidth="1"/>
    <col min="6556" max="6556" width="25.7109375" style="261" customWidth="1"/>
    <col min="6557" max="6557" width="0.85546875" style="261" customWidth="1"/>
    <col min="6558" max="6558" width="10.7109375" style="261" customWidth="1"/>
    <col min="6559" max="6559" width="0.85546875" style="261" customWidth="1"/>
    <col min="6560" max="6560" width="14.7109375" style="261" customWidth="1"/>
    <col min="6561" max="6561" width="17.85546875" style="261" customWidth="1"/>
    <col min="6562" max="6562" width="0.85546875" style="261" customWidth="1"/>
    <col min="6563" max="6564" width="14.7109375" style="261" customWidth="1"/>
    <col min="6565" max="6565" width="0.85546875" style="261" customWidth="1"/>
    <col min="6566" max="6567" width="14.7109375" style="261" customWidth="1"/>
    <col min="6568" max="6568" width="0.85546875" style="261" customWidth="1"/>
    <col min="6569" max="6569" width="14.7109375" style="261" customWidth="1"/>
    <col min="6570" max="6570" width="0.85546875" style="261" customWidth="1"/>
    <col min="6571" max="6575" width="6.7109375" style="261" customWidth="1"/>
    <col min="6576" max="6810" width="11.42578125" style="261"/>
    <col min="6811" max="6811" width="4" style="261" customWidth="1"/>
    <col min="6812" max="6812" width="25.7109375" style="261" customWidth="1"/>
    <col min="6813" max="6813" width="0.85546875" style="261" customWidth="1"/>
    <col min="6814" max="6814" width="10.7109375" style="261" customWidth="1"/>
    <col min="6815" max="6815" width="0.85546875" style="261" customWidth="1"/>
    <col min="6816" max="6816" width="14.7109375" style="261" customWidth="1"/>
    <col min="6817" max="6817" width="17.85546875" style="261" customWidth="1"/>
    <col min="6818" max="6818" width="0.85546875" style="261" customWidth="1"/>
    <col min="6819" max="6820" width="14.7109375" style="261" customWidth="1"/>
    <col min="6821" max="6821" width="0.85546875" style="261" customWidth="1"/>
    <col min="6822" max="6823" width="14.7109375" style="261" customWidth="1"/>
    <col min="6824" max="6824" width="0.85546875" style="261" customWidth="1"/>
    <col min="6825" max="6825" width="14.7109375" style="261" customWidth="1"/>
    <col min="6826" max="6826" width="0.85546875" style="261" customWidth="1"/>
    <col min="6827" max="6831" width="6.7109375" style="261" customWidth="1"/>
    <col min="6832" max="7066" width="11.42578125" style="261"/>
    <col min="7067" max="7067" width="4" style="261" customWidth="1"/>
    <col min="7068" max="7068" width="25.7109375" style="261" customWidth="1"/>
    <col min="7069" max="7069" width="0.85546875" style="261" customWidth="1"/>
    <col min="7070" max="7070" width="10.7109375" style="261" customWidth="1"/>
    <col min="7071" max="7071" width="0.85546875" style="261" customWidth="1"/>
    <col min="7072" max="7072" width="14.7109375" style="261" customWidth="1"/>
    <col min="7073" max="7073" width="17.85546875" style="261" customWidth="1"/>
    <col min="7074" max="7074" width="0.85546875" style="261" customWidth="1"/>
    <col min="7075" max="7076" width="14.7109375" style="261" customWidth="1"/>
    <col min="7077" max="7077" width="0.85546875" style="261" customWidth="1"/>
    <col min="7078" max="7079" width="14.7109375" style="261" customWidth="1"/>
    <col min="7080" max="7080" width="0.85546875" style="261" customWidth="1"/>
    <col min="7081" max="7081" width="14.7109375" style="261" customWidth="1"/>
    <col min="7082" max="7082" width="0.85546875" style="261" customWidth="1"/>
    <col min="7083" max="7087" width="6.7109375" style="261" customWidth="1"/>
    <col min="7088" max="7322" width="11.42578125" style="261"/>
    <col min="7323" max="7323" width="4" style="261" customWidth="1"/>
    <col min="7324" max="7324" width="25.7109375" style="261" customWidth="1"/>
    <col min="7325" max="7325" width="0.85546875" style="261" customWidth="1"/>
    <col min="7326" max="7326" width="10.7109375" style="261" customWidth="1"/>
    <col min="7327" max="7327" width="0.85546875" style="261" customWidth="1"/>
    <col min="7328" max="7328" width="14.7109375" style="261" customWidth="1"/>
    <col min="7329" max="7329" width="17.85546875" style="261" customWidth="1"/>
    <col min="7330" max="7330" width="0.85546875" style="261" customWidth="1"/>
    <col min="7331" max="7332" width="14.7109375" style="261" customWidth="1"/>
    <col min="7333" max="7333" width="0.85546875" style="261" customWidth="1"/>
    <col min="7334" max="7335" width="14.7109375" style="261" customWidth="1"/>
    <col min="7336" max="7336" width="0.85546875" style="261" customWidth="1"/>
    <col min="7337" max="7337" width="14.7109375" style="261" customWidth="1"/>
    <col min="7338" max="7338" width="0.85546875" style="261" customWidth="1"/>
    <col min="7339" max="7343" width="6.7109375" style="261" customWidth="1"/>
    <col min="7344" max="7578" width="11.42578125" style="261"/>
    <col min="7579" max="7579" width="4" style="261" customWidth="1"/>
    <col min="7580" max="7580" width="25.7109375" style="261" customWidth="1"/>
    <col min="7581" max="7581" width="0.85546875" style="261" customWidth="1"/>
    <col min="7582" max="7582" width="10.7109375" style="261" customWidth="1"/>
    <col min="7583" max="7583" width="0.85546875" style="261" customWidth="1"/>
    <col min="7584" max="7584" width="14.7109375" style="261" customWidth="1"/>
    <col min="7585" max="7585" width="17.85546875" style="261" customWidth="1"/>
    <col min="7586" max="7586" width="0.85546875" style="261" customWidth="1"/>
    <col min="7587" max="7588" width="14.7109375" style="261" customWidth="1"/>
    <col min="7589" max="7589" width="0.85546875" style="261" customWidth="1"/>
    <col min="7590" max="7591" width="14.7109375" style="261" customWidth="1"/>
    <col min="7592" max="7592" width="0.85546875" style="261" customWidth="1"/>
    <col min="7593" max="7593" width="14.7109375" style="261" customWidth="1"/>
    <col min="7594" max="7594" width="0.85546875" style="261" customWidth="1"/>
    <col min="7595" max="7599" width="6.7109375" style="261" customWidth="1"/>
    <col min="7600" max="7834" width="11.42578125" style="261"/>
    <col min="7835" max="7835" width="4" style="261" customWidth="1"/>
    <col min="7836" max="7836" width="25.7109375" style="261" customWidth="1"/>
    <col min="7837" max="7837" width="0.85546875" style="261" customWidth="1"/>
    <col min="7838" max="7838" width="10.7109375" style="261" customWidth="1"/>
    <col min="7839" max="7839" width="0.85546875" style="261" customWidth="1"/>
    <col min="7840" max="7840" width="14.7109375" style="261" customWidth="1"/>
    <col min="7841" max="7841" width="17.85546875" style="261" customWidth="1"/>
    <col min="7842" max="7842" width="0.85546875" style="261" customWidth="1"/>
    <col min="7843" max="7844" width="14.7109375" style="261" customWidth="1"/>
    <col min="7845" max="7845" width="0.85546875" style="261" customWidth="1"/>
    <col min="7846" max="7847" width="14.7109375" style="261" customWidth="1"/>
    <col min="7848" max="7848" width="0.85546875" style="261" customWidth="1"/>
    <col min="7849" max="7849" width="14.7109375" style="261" customWidth="1"/>
    <col min="7850" max="7850" width="0.85546875" style="261" customWidth="1"/>
    <col min="7851" max="7855" width="6.7109375" style="261" customWidth="1"/>
    <col min="7856" max="8090" width="11.42578125" style="261"/>
    <col min="8091" max="8091" width="4" style="261" customWidth="1"/>
    <col min="8092" max="8092" width="25.7109375" style="261" customWidth="1"/>
    <col min="8093" max="8093" width="0.85546875" style="261" customWidth="1"/>
    <col min="8094" max="8094" width="10.7109375" style="261" customWidth="1"/>
    <col min="8095" max="8095" width="0.85546875" style="261" customWidth="1"/>
    <col min="8096" max="8096" width="14.7109375" style="261" customWidth="1"/>
    <col min="8097" max="8097" width="17.85546875" style="261" customWidth="1"/>
    <col min="8098" max="8098" width="0.85546875" style="261" customWidth="1"/>
    <col min="8099" max="8100" width="14.7109375" style="261" customWidth="1"/>
    <col min="8101" max="8101" width="0.85546875" style="261" customWidth="1"/>
    <col min="8102" max="8103" width="14.7109375" style="261" customWidth="1"/>
    <col min="8104" max="8104" width="0.85546875" style="261" customWidth="1"/>
    <col min="8105" max="8105" width="14.7109375" style="261" customWidth="1"/>
    <col min="8106" max="8106" width="0.85546875" style="261" customWidth="1"/>
    <col min="8107" max="8111" width="6.7109375" style="261" customWidth="1"/>
    <col min="8112" max="8346" width="11.42578125" style="261"/>
    <col min="8347" max="8347" width="4" style="261" customWidth="1"/>
    <col min="8348" max="8348" width="25.7109375" style="261" customWidth="1"/>
    <col min="8349" max="8349" width="0.85546875" style="261" customWidth="1"/>
    <col min="8350" max="8350" width="10.7109375" style="261" customWidth="1"/>
    <col min="8351" max="8351" width="0.85546875" style="261" customWidth="1"/>
    <col min="8352" max="8352" width="14.7109375" style="261" customWidth="1"/>
    <col min="8353" max="8353" width="17.85546875" style="261" customWidth="1"/>
    <col min="8354" max="8354" width="0.85546875" style="261" customWidth="1"/>
    <col min="8355" max="8356" width="14.7109375" style="261" customWidth="1"/>
    <col min="8357" max="8357" width="0.85546875" style="261" customWidth="1"/>
    <col min="8358" max="8359" width="14.7109375" style="261" customWidth="1"/>
    <col min="8360" max="8360" width="0.85546875" style="261" customWidth="1"/>
    <col min="8361" max="8361" width="14.7109375" style="261" customWidth="1"/>
    <col min="8362" max="8362" width="0.85546875" style="261" customWidth="1"/>
    <col min="8363" max="8367" width="6.7109375" style="261" customWidth="1"/>
    <col min="8368" max="8602" width="11.42578125" style="261"/>
    <col min="8603" max="8603" width="4" style="261" customWidth="1"/>
    <col min="8604" max="8604" width="25.7109375" style="261" customWidth="1"/>
    <col min="8605" max="8605" width="0.85546875" style="261" customWidth="1"/>
    <col min="8606" max="8606" width="10.7109375" style="261" customWidth="1"/>
    <col min="8607" max="8607" width="0.85546875" style="261" customWidth="1"/>
    <col min="8608" max="8608" width="14.7109375" style="261" customWidth="1"/>
    <col min="8609" max="8609" width="17.85546875" style="261" customWidth="1"/>
    <col min="8610" max="8610" width="0.85546875" style="261" customWidth="1"/>
    <col min="8611" max="8612" width="14.7109375" style="261" customWidth="1"/>
    <col min="8613" max="8613" width="0.85546875" style="261" customWidth="1"/>
    <col min="8614" max="8615" width="14.7109375" style="261" customWidth="1"/>
    <col min="8616" max="8616" width="0.85546875" style="261" customWidth="1"/>
    <col min="8617" max="8617" width="14.7109375" style="261" customWidth="1"/>
    <col min="8618" max="8618" width="0.85546875" style="261" customWidth="1"/>
    <col min="8619" max="8623" width="6.7109375" style="261" customWidth="1"/>
    <col min="8624" max="8858" width="11.42578125" style="261"/>
    <col min="8859" max="8859" width="4" style="261" customWidth="1"/>
    <col min="8860" max="8860" width="25.7109375" style="261" customWidth="1"/>
    <col min="8861" max="8861" width="0.85546875" style="261" customWidth="1"/>
    <col min="8862" max="8862" width="10.7109375" style="261" customWidth="1"/>
    <col min="8863" max="8863" width="0.85546875" style="261" customWidth="1"/>
    <col min="8864" max="8864" width="14.7109375" style="261" customWidth="1"/>
    <col min="8865" max="8865" width="17.85546875" style="261" customWidth="1"/>
    <col min="8866" max="8866" width="0.85546875" style="261" customWidth="1"/>
    <col min="8867" max="8868" width="14.7109375" style="261" customWidth="1"/>
    <col min="8869" max="8869" width="0.85546875" style="261" customWidth="1"/>
    <col min="8870" max="8871" width="14.7109375" style="261" customWidth="1"/>
    <col min="8872" max="8872" width="0.85546875" style="261" customWidth="1"/>
    <col min="8873" max="8873" width="14.7109375" style="261" customWidth="1"/>
    <col min="8874" max="8874" width="0.85546875" style="261" customWidth="1"/>
    <col min="8875" max="8879" width="6.7109375" style="261" customWidth="1"/>
    <col min="8880" max="9114" width="11.42578125" style="261"/>
    <col min="9115" max="9115" width="4" style="261" customWidth="1"/>
    <col min="9116" max="9116" width="25.7109375" style="261" customWidth="1"/>
    <col min="9117" max="9117" width="0.85546875" style="261" customWidth="1"/>
    <col min="9118" max="9118" width="10.7109375" style="261" customWidth="1"/>
    <col min="9119" max="9119" width="0.85546875" style="261" customWidth="1"/>
    <col min="9120" max="9120" width="14.7109375" style="261" customWidth="1"/>
    <col min="9121" max="9121" width="17.85546875" style="261" customWidth="1"/>
    <col min="9122" max="9122" width="0.85546875" style="261" customWidth="1"/>
    <col min="9123" max="9124" width="14.7109375" style="261" customWidth="1"/>
    <col min="9125" max="9125" width="0.85546875" style="261" customWidth="1"/>
    <col min="9126" max="9127" width="14.7109375" style="261" customWidth="1"/>
    <col min="9128" max="9128" width="0.85546875" style="261" customWidth="1"/>
    <col min="9129" max="9129" width="14.7109375" style="261" customWidth="1"/>
    <col min="9130" max="9130" width="0.85546875" style="261" customWidth="1"/>
    <col min="9131" max="9135" width="6.7109375" style="261" customWidth="1"/>
    <col min="9136" max="9370" width="11.42578125" style="261"/>
    <col min="9371" max="9371" width="4" style="261" customWidth="1"/>
    <col min="9372" max="9372" width="25.7109375" style="261" customWidth="1"/>
    <col min="9373" max="9373" width="0.85546875" style="261" customWidth="1"/>
    <col min="9374" max="9374" width="10.7109375" style="261" customWidth="1"/>
    <col min="9375" max="9375" width="0.85546875" style="261" customWidth="1"/>
    <col min="9376" max="9376" width="14.7109375" style="261" customWidth="1"/>
    <col min="9377" max="9377" width="17.85546875" style="261" customWidth="1"/>
    <col min="9378" max="9378" width="0.85546875" style="261" customWidth="1"/>
    <col min="9379" max="9380" width="14.7109375" style="261" customWidth="1"/>
    <col min="9381" max="9381" width="0.85546875" style="261" customWidth="1"/>
    <col min="9382" max="9383" width="14.7109375" style="261" customWidth="1"/>
    <col min="9384" max="9384" width="0.85546875" style="261" customWidth="1"/>
    <col min="9385" max="9385" width="14.7109375" style="261" customWidth="1"/>
    <col min="9386" max="9386" width="0.85546875" style="261" customWidth="1"/>
    <col min="9387" max="9391" width="6.7109375" style="261" customWidth="1"/>
    <col min="9392" max="9626" width="11.42578125" style="261"/>
    <col min="9627" max="9627" width="4" style="261" customWidth="1"/>
    <col min="9628" max="9628" width="25.7109375" style="261" customWidth="1"/>
    <col min="9629" max="9629" width="0.85546875" style="261" customWidth="1"/>
    <col min="9630" max="9630" width="10.7109375" style="261" customWidth="1"/>
    <col min="9631" max="9631" width="0.85546875" style="261" customWidth="1"/>
    <col min="9632" max="9632" width="14.7109375" style="261" customWidth="1"/>
    <col min="9633" max="9633" width="17.85546875" style="261" customWidth="1"/>
    <col min="9634" max="9634" width="0.85546875" style="261" customWidth="1"/>
    <col min="9635" max="9636" width="14.7109375" style="261" customWidth="1"/>
    <col min="9637" max="9637" width="0.85546875" style="261" customWidth="1"/>
    <col min="9638" max="9639" width="14.7109375" style="261" customWidth="1"/>
    <col min="9640" max="9640" width="0.85546875" style="261" customWidth="1"/>
    <col min="9641" max="9641" width="14.7109375" style="261" customWidth="1"/>
    <col min="9642" max="9642" width="0.85546875" style="261" customWidth="1"/>
    <col min="9643" max="9647" width="6.7109375" style="261" customWidth="1"/>
    <col min="9648" max="9882" width="11.42578125" style="261"/>
    <col min="9883" max="9883" width="4" style="261" customWidth="1"/>
    <col min="9884" max="9884" width="25.7109375" style="261" customWidth="1"/>
    <col min="9885" max="9885" width="0.85546875" style="261" customWidth="1"/>
    <col min="9886" max="9886" width="10.7109375" style="261" customWidth="1"/>
    <col min="9887" max="9887" width="0.85546875" style="261" customWidth="1"/>
    <col min="9888" max="9888" width="14.7109375" style="261" customWidth="1"/>
    <col min="9889" max="9889" width="17.85546875" style="261" customWidth="1"/>
    <col min="9890" max="9890" width="0.85546875" style="261" customWidth="1"/>
    <col min="9891" max="9892" width="14.7109375" style="261" customWidth="1"/>
    <col min="9893" max="9893" width="0.85546875" style="261" customWidth="1"/>
    <col min="9894" max="9895" width="14.7109375" style="261" customWidth="1"/>
    <col min="9896" max="9896" width="0.85546875" style="261" customWidth="1"/>
    <col min="9897" max="9897" width="14.7109375" style="261" customWidth="1"/>
    <col min="9898" max="9898" width="0.85546875" style="261" customWidth="1"/>
    <col min="9899" max="9903" width="6.7109375" style="261" customWidth="1"/>
    <col min="9904" max="10138" width="11.42578125" style="261"/>
    <col min="10139" max="10139" width="4" style="261" customWidth="1"/>
    <col min="10140" max="10140" width="25.7109375" style="261" customWidth="1"/>
    <col min="10141" max="10141" width="0.85546875" style="261" customWidth="1"/>
    <col min="10142" max="10142" width="10.7109375" style="261" customWidth="1"/>
    <col min="10143" max="10143" width="0.85546875" style="261" customWidth="1"/>
    <col min="10144" max="10144" width="14.7109375" style="261" customWidth="1"/>
    <col min="10145" max="10145" width="17.85546875" style="261" customWidth="1"/>
    <col min="10146" max="10146" width="0.85546875" style="261" customWidth="1"/>
    <col min="10147" max="10148" width="14.7109375" style="261" customWidth="1"/>
    <col min="10149" max="10149" width="0.85546875" style="261" customWidth="1"/>
    <col min="10150" max="10151" width="14.7109375" style="261" customWidth="1"/>
    <col min="10152" max="10152" width="0.85546875" style="261" customWidth="1"/>
    <col min="10153" max="10153" width="14.7109375" style="261" customWidth="1"/>
    <col min="10154" max="10154" width="0.85546875" style="261" customWidth="1"/>
    <col min="10155" max="10159" width="6.7109375" style="261" customWidth="1"/>
    <col min="10160" max="10394" width="11.42578125" style="261"/>
    <col min="10395" max="10395" width="4" style="261" customWidth="1"/>
    <col min="10396" max="10396" width="25.7109375" style="261" customWidth="1"/>
    <col min="10397" max="10397" width="0.85546875" style="261" customWidth="1"/>
    <col min="10398" max="10398" width="10.7109375" style="261" customWidth="1"/>
    <col min="10399" max="10399" width="0.85546875" style="261" customWidth="1"/>
    <col min="10400" max="10400" width="14.7109375" style="261" customWidth="1"/>
    <col min="10401" max="10401" width="17.85546875" style="261" customWidth="1"/>
    <col min="10402" max="10402" width="0.85546875" style="261" customWidth="1"/>
    <col min="10403" max="10404" width="14.7109375" style="261" customWidth="1"/>
    <col min="10405" max="10405" width="0.85546875" style="261" customWidth="1"/>
    <col min="10406" max="10407" width="14.7109375" style="261" customWidth="1"/>
    <col min="10408" max="10408" width="0.85546875" style="261" customWidth="1"/>
    <col min="10409" max="10409" width="14.7109375" style="261" customWidth="1"/>
    <col min="10410" max="10410" width="0.85546875" style="261" customWidth="1"/>
    <col min="10411" max="10415" width="6.7109375" style="261" customWidth="1"/>
    <col min="10416" max="10650" width="11.42578125" style="261"/>
    <col min="10651" max="10651" width="4" style="261" customWidth="1"/>
    <col min="10652" max="10652" width="25.7109375" style="261" customWidth="1"/>
    <col min="10653" max="10653" width="0.85546875" style="261" customWidth="1"/>
    <col min="10654" max="10654" width="10.7109375" style="261" customWidth="1"/>
    <col min="10655" max="10655" width="0.85546875" style="261" customWidth="1"/>
    <col min="10656" max="10656" width="14.7109375" style="261" customWidth="1"/>
    <col min="10657" max="10657" width="17.85546875" style="261" customWidth="1"/>
    <col min="10658" max="10658" width="0.85546875" style="261" customWidth="1"/>
    <col min="10659" max="10660" width="14.7109375" style="261" customWidth="1"/>
    <col min="10661" max="10661" width="0.85546875" style="261" customWidth="1"/>
    <col min="10662" max="10663" width="14.7109375" style="261" customWidth="1"/>
    <col min="10664" max="10664" width="0.85546875" style="261" customWidth="1"/>
    <col min="10665" max="10665" width="14.7109375" style="261" customWidth="1"/>
    <col min="10666" max="10666" width="0.85546875" style="261" customWidth="1"/>
    <col min="10667" max="10671" width="6.7109375" style="261" customWidth="1"/>
    <col min="10672" max="10906" width="11.42578125" style="261"/>
    <col min="10907" max="10907" width="4" style="261" customWidth="1"/>
    <col min="10908" max="10908" width="25.7109375" style="261" customWidth="1"/>
    <col min="10909" max="10909" width="0.85546875" style="261" customWidth="1"/>
    <col min="10910" max="10910" width="10.7109375" style="261" customWidth="1"/>
    <col min="10911" max="10911" width="0.85546875" style="261" customWidth="1"/>
    <col min="10912" max="10912" width="14.7109375" style="261" customWidth="1"/>
    <col min="10913" max="10913" width="17.85546875" style="261" customWidth="1"/>
    <col min="10914" max="10914" width="0.85546875" style="261" customWidth="1"/>
    <col min="10915" max="10916" width="14.7109375" style="261" customWidth="1"/>
    <col min="10917" max="10917" width="0.85546875" style="261" customWidth="1"/>
    <col min="10918" max="10919" width="14.7109375" style="261" customWidth="1"/>
    <col min="10920" max="10920" width="0.85546875" style="261" customWidth="1"/>
    <col min="10921" max="10921" width="14.7109375" style="261" customWidth="1"/>
    <col min="10922" max="10922" width="0.85546875" style="261" customWidth="1"/>
    <col min="10923" max="10927" width="6.7109375" style="261" customWidth="1"/>
    <col min="10928" max="11162" width="11.42578125" style="261"/>
    <col min="11163" max="11163" width="4" style="261" customWidth="1"/>
    <col min="11164" max="11164" width="25.7109375" style="261" customWidth="1"/>
    <col min="11165" max="11165" width="0.85546875" style="261" customWidth="1"/>
    <col min="11166" max="11166" width="10.7109375" style="261" customWidth="1"/>
    <col min="11167" max="11167" width="0.85546875" style="261" customWidth="1"/>
    <col min="11168" max="11168" width="14.7109375" style="261" customWidth="1"/>
    <col min="11169" max="11169" width="17.85546875" style="261" customWidth="1"/>
    <col min="11170" max="11170" width="0.85546875" style="261" customWidth="1"/>
    <col min="11171" max="11172" width="14.7109375" style="261" customWidth="1"/>
    <col min="11173" max="11173" width="0.85546875" style="261" customWidth="1"/>
    <col min="11174" max="11175" width="14.7109375" style="261" customWidth="1"/>
    <col min="11176" max="11176" width="0.85546875" style="261" customWidth="1"/>
    <col min="11177" max="11177" width="14.7109375" style="261" customWidth="1"/>
    <col min="11178" max="11178" width="0.85546875" style="261" customWidth="1"/>
    <col min="11179" max="11183" width="6.7109375" style="261" customWidth="1"/>
    <col min="11184" max="11418" width="11.42578125" style="261"/>
    <col min="11419" max="11419" width="4" style="261" customWidth="1"/>
    <col min="11420" max="11420" width="25.7109375" style="261" customWidth="1"/>
    <col min="11421" max="11421" width="0.85546875" style="261" customWidth="1"/>
    <col min="11422" max="11422" width="10.7109375" style="261" customWidth="1"/>
    <col min="11423" max="11423" width="0.85546875" style="261" customWidth="1"/>
    <col min="11424" max="11424" width="14.7109375" style="261" customWidth="1"/>
    <col min="11425" max="11425" width="17.85546875" style="261" customWidth="1"/>
    <col min="11426" max="11426" width="0.85546875" style="261" customWidth="1"/>
    <col min="11427" max="11428" width="14.7109375" style="261" customWidth="1"/>
    <col min="11429" max="11429" width="0.85546875" style="261" customWidth="1"/>
    <col min="11430" max="11431" width="14.7109375" style="261" customWidth="1"/>
    <col min="11432" max="11432" width="0.85546875" style="261" customWidth="1"/>
    <col min="11433" max="11433" width="14.7109375" style="261" customWidth="1"/>
    <col min="11434" max="11434" width="0.85546875" style="261" customWidth="1"/>
    <col min="11435" max="11439" width="6.7109375" style="261" customWidth="1"/>
    <col min="11440" max="11674" width="11.42578125" style="261"/>
    <col min="11675" max="11675" width="4" style="261" customWidth="1"/>
    <col min="11676" max="11676" width="25.7109375" style="261" customWidth="1"/>
    <col min="11677" max="11677" width="0.85546875" style="261" customWidth="1"/>
    <col min="11678" max="11678" width="10.7109375" style="261" customWidth="1"/>
    <col min="11679" max="11679" width="0.85546875" style="261" customWidth="1"/>
    <col min="11680" max="11680" width="14.7109375" style="261" customWidth="1"/>
    <col min="11681" max="11681" width="17.85546875" style="261" customWidth="1"/>
    <col min="11682" max="11682" width="0.85546875" style="261" customWidth="1"/>
    <col min="11683" max="11684" width="14.7109375" style="261" customWidth="1"/>
    <col min="11685" max="11685" width="0.85546875" style="261" customWidth="1"/>
    <col min="11686" max="11687" width="14.7109375" style="261" customWidth="1"/>
    <col min="11688" max="11688" width="0.85546875" style="261" customWidth="1"/>
    <col min="11689" max="11689" width="14.7109375" style="261" customWidth="1"/>
    <col min="11690" max="11690" width="0.85546875" style="261" customWidth="1"/>
    <col min="11691" max="11695" width="6.7109375" style="261" customWidth="1"/>
    <col min="11696" max="11930" width="11.42578125" style="261"/>
    <col min="11931" max="11931" width="4" style="261" customWidth="1"/>
    <col min="11932" max="11932" width="25.7109375" style="261" customWidth="1"/>
    <col min="11933" max="11933" width="0.85546875" style="261" customWidth="1"/>
    <col min="11934" max="11934" width="10.7109375" style="261" customWidth="1"/>
    <col min="11935" max="11935" width="0.85546875" style="261" customWidth="1"/>
    <col min="11936" max="11936" width="14.7109375" style="261" customWidth="1"/>
    <col min="11937" max="11937" width="17.85546875" style="261" customWidth="1"/>
    <col min="11938" max="11938" width="0.85546875" style="261" customWidth="1"/>
    <col min="11939" max="11940" width="14.7109375" style="261" customWidth="1"/>
    <col min="11941" max="11941" width="0.85546875" style="261" customWidth="1"/>
    <col min="11942" max="11943" width="14.7109375" style="261" customWidth="1"/>
    <col min="11944" max="11944" width="0.85546875" style="261" customWidth="1"/>
    <col min="11945" max="11945" width="14.7109375" style="261" customWidth="1"/>
    <col min="11946" max="11946" width="0.85546875" style="261" customWidth="1"/>
    <col min="11947" max="11951" width="6.7109375" style="261" customWidth="1"/>
    <col min="11952" max="12186" width="11.42578125" style="261"/>
    <col min="12187" max="12187" width="4" style="261" customWidth="1"/>
    <col min="12188" max="12188" width="25.7109375" style="261" customWidth="1"/>
    <col min="12189" max="12189" width="0.85546875" style="261" customWidth="1"/>
    <col min="12190" max="12190" width="10.7109375" style="261" customWidth="1"/>
    <col min="12191" max="12191" width="0.85546875" style="261" customWidth="1"/>
    <col min="12192" max="12192" width="14.7109375" style="261" customWidth="1"/>
    <col min="12193" max="12193" width="17.85546875" style="261" customWidth="1"/>
    <col min="12194" max="12194" width="0.85546875" style="261" customWidth="1"/>
    <col min="12195" max="12196" width="14.7109375" style="261" customWidth="1"/>
    <col min="12197" max="12197" width="0.85546875" style="261" customWidth="1"/>
    <col min="12198" max="12199" width="14.7109375" style="261" customWidth="1"/>
    <col min="12200" max="12200" width="0.85546875" style="261" customWidth="1"/>
    <col min="12201" max="12201" width="14.7109375" style="261" customWidth="1"/>
    <col min="12202" max="12202" width="0.85546875" style="261" customWidth="1"/>
    <col min="12203" max="12207" width="6.7109375" style="261" customWidth="1"/>
    <col min="12208" max="12442" width="11.42578125" style="261"/>
    <col min="12443" max="12443" width="4" style="261" customWidth="1"/>
    <col min="12444" max="12444" width="25.7109375" style="261" customWidth="1"/>
    <col min="12445" max="12445" width="0.85546875" style="261" customWidth="1"/>
    <col min="12446" max="12446" width="10.7109375" style="261" customWidth="1"/>
    <col min="12447" max="12447" width="0.85546875" style="261" customWidth="1"/>
    <col min="12448" max="12448" width="14.7109375" style="261" customWidth="1"/>
    <col min="12449" max="12449" width="17.85546875" style="261" customWidth="1"/>
    <col min="12450" max="12450" width="0.85546875" style="261" customWidth="1"/>
    <col min="12451" max="12452" width="14.7109375" style="261" customWidth="1"/>
    <col min="12453" max="12453" width="0.85546875" style="261" customWidth="1"/>
    <col min="12454" max="12455" width="14.7109375" style="261" customWidth="1"/>
    <col min="12456" max="12456" width="0.85546875" style="261" customWidth="1"/>
    <col min="12457" max="12457" width="14.7109375" style="261" customWidth="1"/>
    <col min="12458" max="12458" width="0.85546875" style="261" customWidth="1"/>
    <col min="12459" max="12463" width="6.7109375" style="261" customWidth="1"/>
    <col min="12464" max="12698" width="11.42578125" style="261"/>
    <col min="12699" max="12699" width="4" style="261" customWidth="1"/>
    <col min="12700" max="12700" width="25.7109375" style="261" customWidth="1"/>
    <col min="12701" max="12701" width="0.85546875" style="261" customWidth="1"/>
    <col min="12702" max="12702" width="10.7109375" style="261" customWidth="1"/>
    <col min="12703" max="12703" width="0.85546875" style="261" customWidth="1"/>
    <col min="12704" max="12704" width="14.7109375" style="261" customWidth="1"/>
    <col min="12705" max="12705" width="17.85546875" style="261" customWidth="1"/>
    <col min="12706" max="12706" width="0.85546875" style="261" customWidth="1"/>
    <col min="12707" max="12708" width="14.7109375" style="261" customWidth="1"/>
    <col min="12709" max="12709" width="0.85546875" style="261" customWidth="1"/>
    <col min="12710" max="12711" width="14.7109375" style="261" customWidth="1"/>
    <col min="12712" max="12712" width="0.85546875" style="261" customWidth="1"/>
    <col min="12713" max="12713" width="14.7109375" style="261" customWidth="1"/>
    <col min="12714" max="12714" width="0.85546875" style="261" customWidth="1"/>
    <col min="12715" max="12719" width="6.7109375" style="261" customWidth="1"/>
    <col min="12720" max="12954" width="11.42578125" style="261"/>
    <col min="12955" max="12955" width="4" style="261" customWidth="1"/>
    <col min="12956" max="12956" width="25.7109375" style="261" customWidth="1"/>
    <col min="12957" max="12957" width="0.85546875" style="261" customWidth="1"/>
    <col min="12958" max="12958" width="10.7109375" style="261" customWidth="1"/>
    <col min="12959" max="12959" width="0.85546875" style="261" customWidth="1"/>
    <col min="12960" max="12960" width="14.7109375" style="261" customWidth="1"/>
    <col min="12961" max="12961" width="17.85546875" style="261" customWidth="1"/>
    <col min="12962" max="12962" width="0.85546875" style="261" customWidth="1"/>
    <col min="12963" max="12964" width="14.7109375" style="261" customWidth="1"/>
    <col min="12965" max="12965" width="0.85546875" style="261" customWidth="1"/>
    <col min="12966" max="12967" width="14.7109375" style="261" customWidth="1"/>
    <col min="12968" max="12968" width="0.85546875" style="261" customWidth="1"/>
    <col min="12969" max="12969" width="14.7109375" style="261" customWidth="1"/>
    <col min="12970" max="12970" width="0.85546875" style="261" customWidth="1"/>
    <col min="12971" max="12975" width="6.7109375" style="261" customWidth="1"/>
    <col min="12976" max="13210" width="11.42578125" style="261"/>
    <col min="13211" max="13211" width="4" style="261" customWidth="1"/>
    <col min="13212" max="13212" width="25.7109375" style="261" customWidth="1"/>
    <col min="13213" max="13213" width="0.85546875" style="261" customWidth="1"/>
    <col min="13214" max="13214" width="10.7109375" style="261" customWidth="1"/>
    <col min="13215" max="13215" width="0.85546875" style="261" customWidth="1"/>
    <col min="13216" max="13216" width="14.7109375" style="261" customWidth="1"/>
    <col min="13217" max="13217" width="17.85546875" style="261" customWidth="1"/>
    <col min="13218" max="13218" width="0.85546875" style="261" customWidth="1"/>
    <col min="13219" max="13220" width="14.7109375" style="261" customWidth="1"/>
    <col min="13221" max="13221" width="0.85546875" style="261" customWidth="1"/>
    <col min="13222" max="13223" width="14.7109375" style="261" customWidth="1"/>
    <col min="13224" max="13224" width="0.85546875" style="261" customWidth="1"/>
    <col min="13225" max="13225" width="14.7109375" style="261" customWidth="1"/>
    <col min="13226" max="13226" width="0.85546875" style="261" customWidth="1"/>
    <col min="13227" max="13231" width="6.7109375" style="261" customWidth="1"/>
    <col min="13232" max="13466" width="11.42578125" style="261"/>
    <col min="13467" max="13467" width="4" style="261" customWidth="1"/>
    <col min="13468" max="13468" width="25.7109375" style="261" customWidth="1"/>
    <col min="13469" max="13469" width="0.85546875" style="261" customWidth="1"/>
    <col min="13470" max="13470" width="10.7109375" style="261" customWidth="1"/>
    <col min="13471" max="13471" width="0.85546875" style="261" customWidth="1"/>
    <col min="13472" max="13472" width="14.7109375" style="261" customWidth="1"/>
    <col min="13473" max="13473" width="17.85546875" style="261" customWidth="1"/>
    <col min="13474" max="13474" width="0.85546875" style="261" customWidth="1"/>
    <col min="13475" max="13476" width="14.7109375" style="261" customWidth="1"/>
    <col min="13477" max="13477" width="0.85546875" style="261" customWidth="1"/>
    <col min="13478" max="13479" width="14.7109375" style="261" customWidth="1"/>
    <col min="13480" max="13480" width="0.85546875" style="261" customWidth="1"/>
    <col min="13481" max="13481" width="14.7109375" style="261" customWidth="1"/>
    <col min="13482" max="13482" width="0.85546875" style="261" customWidth="1"/>
    <col min="13483" max="13487" width="6.7109375" style="261" customWidth="1"/>
    <col min="13488" max="13722" width="11.42578125" style="261"/>
    <col min="13723" max="13723" width="4" style="261" customWidth="1"/>
    <col min="13724" max="13724" width="25.7109375" style="261" customWidth="1"/>
    <col min="13725" max="13725" width="0.85546875" style="261" customWidth="1"/>
    <col min="13726" max="13726" width="10.7109375" style="261" customWidth="1"/>
    <col min="13727" max="13727" width="0.85546875" style="261" customWidth="1"/>
    <col min="13728" max="13728" width="14.7109375" style="261" customWidth="1"/>
    <col min="13729" max="13729" width="17.85546875" style="261" customWidth="1"/>
    <col min="13730" max="13730" width="0.85546875" style="261" customWidth="1"/>
    <col min="13731" max="13732" width="14.7109375" style="261" customWidth="1"/>
    <col min="13733" max="13733" width="0.85546875" style="261" customWidth="1"/>
    <col min="13734" max="13735" width="14.7109375" style="261" customWidth="1"/>
    <col min="13736" max="13736" width="0.85546875" style="261" customWidth="1"/>
    <col min="13737" max="13737" width="14.7109375" style="261" customWidth="1"/>
    <col min="13738" max="13738" width="0.85546875" style="261" customWidth="1"/>
    <col min="13739" max="13743" width="6.7109375" style="261" customWidth="1"/>
    <col min="13744" max="13978" width="11.42578125" style="261"/>
    <col min="13979" max="13979" width="4" style="261" customWidth="1"/>
    <col min="13980" max="13980" width="25.7109375" style="261" customWidth="1"/>
    <col min="13981" max="13981" width="0.85546875" style="261" customWidth="1"/>
    <col min="13982" max="13982" width="10.7109375" style="261" customWidth="1"/>
    <col min="13983" max="13983" width="0.85546875" style="261" customWidth="1"/>
    <col min="13984" max="13984" width="14.7109375" style="261" customWidth="1"/>
    <col min="13985" max="13985" width="17.85546875" style="261" customWidth="1"/>
    <col min="13986" max="13986" width="0.85546875" style="261" customWidth="1"/>
    <col min="13987" max="13988" width="14.7109375" style="261" customWidth="1"/>
    <col min="13989" max="13989" width="0.85546875" style="261" customWidth="1"/>
    <col min="13990" max="13991" width="14.7109375" style="261" customWidth="1"/>
    <col min="13992" max="13992" width="0.85546875" style="261" customWidth="1"/>
    <col min="13993" max="13993" width="14.7109375" style="261" customWidth="1"/>
    <col min="13994" max="13994" width="0.85546875" style="261" customWidth="1"/>
    <col min="13995" max="13999" width="6.7109375" style="261" customWidth="1"/>
    <col min="14000" max="14234" width="11.42578125" style="261"/>
    <col min="14235" max="14235" width="4" style="261" customWidth="1"/>
    <col min="14236" max="14236" width="25.7109375" style="261" customWidth="1"/>
    <col min="14237" max="14237" width="0.85546875" style="261" customWidth="1"/>
    <col min="14238" max="14238" width="10.7109375" style="261" customWidth="1"/>
    <col min="14239" max="14239" width="0.85546875" style="261" customWidth="1"/>
    <col min="14240" max="14240" width="14.7109375" style="261" customWidth="1"/>
    <col min="14241" max="14241" width="17.85546875" style="261" customWidth="1"/>
    <col min="14242" max="14242" width="0.85546875" style="261" customWidth="1"/>
    <col min="14243" max="14244" width="14.7109375" style="261" customWidth="1"/>
    <col min="14245" max="14245" width="0.85546875" style="261" customWidth="1"/>
    <col min="14246" max="14247" width="14.7109375" style="261" customWidth="1"/>
    <col min="14248" max="14248" width="0.85546875" style="261" customWidth="1"/>
    <col min="14249" max="14249" width="14.7109375" style="261" customWidth="1"/>
    <col min="14250" max="14250" width="0.85546875" style="261" customWidth="1"/>
    <col min="14251" max="14255" width="6.7109375" style="261" customWidth="1"/>
    <col min="14256" max="14490" width="11.42578125" style="261"/>
    <col min="14491" max="14491" width="4" style="261" customWidth="1"/>
    <col min="14492" max="14492" width="25.7109375" style="261" customWidth="1"/>
    <col min="14493" max="14493" width="0.85546875" style="261" customWidth="1"/>
    <col min="14494" max="14494" width="10.7109375" style="261" customWidth="1"/>
    <col min="14495" max="14495" width="0.85546875" style="261" customWidth="1"/>
    <col min="14496" max="14496" width="14.7109375" style="261" customWidth="1"/>
    <col min="14497" max="14497" width="17.85546875" style="261" customWidth="1"/>
    <col min="14498" max="14498" width="0.85546875" style="261" customWidth="1"/>
    <col min="14499" max="14500" width="14.7109375" style="261" customWidth="1"/>
    <col min="14501" max="14501" width="0.85546875" style="261" customWidth="1"/>
    <col min="14502" max="14503" width="14.7109375" style="261" customWidth="1"/>
    <col min="14504" max="14504" width="0.85546875" style="261" customWidth="1"/>
    <col min="14505" max="14505" width="14.7109375" style="261" customWidth="1"/>
    <col min="14506" max="14506" width="0.85546875" style="261" customWidth="1"/>
    <col min="14507" max="14511" width="6.7109375" style="261" customWidth="1"/>
    <col min="14512" max="14746" width="11.42578125" style="261"/>
    <col min="14747" max="14747" width="4" style="261" customWidth="1"/>
    <col min="14748" max="14748" width="25.7109375" style="261" customWidth="1"/>
    <col min="14749" max="14749" width="0.85546875" style="261" customWidth="1"/>
    <col min="14750" max="14750" width="10.7109375" style="261" customWidth="1"/>
    <col min="14751" max="14751" width="0.85546875" style="261" customWidth="1"/>
    <col min="14752" max="14752" width="14.7109375" style="261" customWidth="1"/>
    <col min="14753" max="14753" width="17.85546875" style="261" customWidth="1"/>
    <col min="14754" max="14754" width="0.85546875" style="261" customWidth="1"/>
    <col min="14755" max="14756" width="14.7109375" style="261" customWidth="1"/>
    <col min="14757" max="14757" width="0.85546875" style="261" customWidth="1"/>
    <col min="14758" max="14759" width="14.7109375" style="261" customWidth="1"/>
    <col min="14760" max="14760" width="0.85546875" style="261" customWidth="1"/>
    <col min="14761" max="14761" width="14.7109375" style="261" customWidth="1"/>
    <col min="14762" max="14762" width="0.85546875" style="261" customWidth="1"/>
    <col min="14763" max="14767" width="6.7109375" style="261" customWidth="1"/>
    <col min="14768" max="15002" width="11.42578125" style="261"/>
    <col min="15003" max="15003" width="4" style="261" customWidth="1"/>
    <col min="15004" max="15004" width="25.7109375" style="261" customWidth="1"/>
    <col min="15005" max="15005" width="0.85546875" style="261" customWidth="1"/>
    <col min="15006" max="15006" width="10.7109375" style="261" customWidth="1"/>
    <col min="15007" max="15007" width="0.85546875" style="261" customWidth="1"/>
    <col min="15008" max="15008" width="14.7109375" style="261" customWidth="1"/>
    <col min="15009" max="15009" width="17.85546875" style="261" customWidth="1"/>
    <col min="15010" max="15010" width="0.85546875" style="261" customWidth="1"/>
    <col min="15011" max="15012" width="14.7109375" style="261" customWidth="1"/>
    <col min="15013" max="15013" width="0.85546875" style="261" customWidth="1"/>
    <col min="15014" max="15015" width="14.7109375" style="261" customWidth="1"/>
    <col min="15016" max="15016" width="0.85546875" style="261" customWidth="1"/>
    <col min="15017" max="15017" width="14.7109375" style="261" customWidth="1"/>
    <col min="15018" max="15018" width="0.85546875" style="261" customWidth="1"/>
    <col min="15019" max="15023" width="6.7109375" style="261" customWidth="1"/>
    <col min="15024" max="15258" width="11.42578125" style="261"/>
    <col min="15259" max="15259" width="4" style="261" customWidth="1"/>
    <col min="15260" max="15260" width="25.7109375" style="261" customWidth="1"/>
    <col min="15261" max="15261" width="0.85546875" style="261" customWidth="1"/>
    <col min="15262" max="15262" width="10.7109375" style="261" customWidth="1"/>
    <col min="15263" max="15263" width="0.85546875" style="261" customWidth="1"/>
    <col min="15264" max="15264" width="14.7109375" style="261" customWidth="1"/>
    <col min="15265" max="15265" width="17.85546875" style="261" customWidth="1"/>
    <col min="15266" max="15266" width="0.85546875" style="261" customWidth="1"/>
    <col min="15267" max="15268" width="14.7109375" style="261" customWidth="1"/>
    <col min="15269" max="15269" width="0.85546875" style="261" customWidth="1"/>
    <col min="15270" max="15271" width="14.7109375" style="261" customWidth="1"/>
    <col min="15272" max="15272" width="0.85546875" style="261" customWidth="1"/>
    <col min="15273" max="15273" width="14.7109375" style="261" customWidth="1"/>
    <col min="15274" max="15274" width="0.85546875" style="261" customWidth="1"/>
    <col min="15275" max="15279" width="6.7109375" style="261" customWidth="1"/>
    <col min="15280" max="15514" width="11.42578125" style="261"/>
    <col min="15515" max="15515" width="4" style="261" customWidth="1"/>
    <col min="15516" max="15516" width="25.7109375" style="261" customWidth="1"/>
    <col min="15517" max="15517" width="0.85546875" style="261" customWidth="1"/>
    <col min="15518" max="15518" width="10.7109375" style="261" customWidth="1"/>
    <col min="15519" max="15519" width="0.85546875" style="261" customWidth="1"/>
    <col min="15520" max="15520" width="14.7109375" style="261" customWidth="1"/>
    <col min="15521" max="15521" width="17.85546875" style="261" customWidth="1"/>
    <col min="15522" max="15522" width="0.85546875" style="261" customWidth="1"/>
    <col min="15523" max="15524" width="14.7109375" style="261" customWidth="1"/>
    <col min="15525" max="15525" width="0.85546875" style="261" customWidth="1"/>
    <col min="15526" max="15527" width="14.7109375" style="261" customWidth="1"/>
    <col min="15528" max="15528" width="0.85546875" style="261" customWidth="1"/>
    <col min="15529" max="15529" width="14.7109375" style="261" customWidth="1"/>
    <col min="15530" max="15530" width="0.85546875" style="261" customWidth="1"/>
    <col min="15531" max="15535" width="6.7109375" style="261" customWidth="1"/>
    <col min="15536" max="15770" width="11.42578125" style="261"/>
    <col min="15771" max="15771" width="4" style="261" customWidth="1"/>
    <col min="15772" max="15772" width="25.7109375" style="261" customWidth="1"/>
    <col min="15773" max="15773" width="0.85546875" style="261" customWidth="1"/>
    <col min="15774" max="15774" width="10.7109375" style="261" customWidth="1"/>
    <col min="15775" max="15775" width="0.85546875" style="261" customWidth="1"/>
    <col min="15776" max="15776" width="14.7109375" style="261" customWidth="1"/>
    <col min="15777" max="15777" width="17.85546875" style="261" customWidth="1"/>
    <col min="15778" max="15778" width="0.85546875" style="261" customWidth="1"/>
    <col min="15779" max="15780" width="14.7109375" style="261" customWidth="1"/>
    <col min="15781" max="15781" width="0.85546875" style="261" customWidth="1"/>
    <col min="15782" max="15783" width="14.7109375" style="261" customWidth="1"/>
    <col min="15784" max="15784" width="0.85546875" style="261" customWidth="1"/>
    <col min="15785" max="15785" width="14.7109375" style="261" customWidth="1"/>
    <col min="15786" max="15786" width="0.85546875" style="261" customWidth="1"/>
    <col min="15787" max="15791" width="6.7109375" style="261" customWidth="1"/>
    <col min="15792" max="16026" width="11.42578125" style="261"/>
    <col min="16027" max="16027" width="4" style="261" customWidth="1"/>
    <col min="16028" max="16028" width="25.7109375" style="261" customWidth="1"/>
    <col min="16029" max="16029" width="0.85546875" style="261" customWidth="1"/>
    <col min="16030" max="16030" width="10.7109375" style="261" customWidth="1"/>
    <col min="16031" max="16031" width="0.85546875" style="261" customWidth="1"/>
    <col min="16032" max="16032" width="14.7109375" style="261" customWidth="1"/>
    <col min="16033" max="16033" width="17.85546875" style="261" customWidth="1"/>
    <col min="16034" max="16034" width="0.85546875" style="261" customWidth="1"/>
    <col min="16035" max="16036" width="14.7109375" style="261" customWidth="1"/>
    <col min="16037" max="16037" width="0.85546875" style="261" customWidth="1"/>
    <col min="16038" max="16039" width="14.7109375" style="261" customWidth="1"/>
    <col min="16040" max="16040" width="0.85546875" style="261" customWidth="1"/>
    <col min="16041" max="16041" width="14.7109375" style="261" customWidth="1"/>
    <col min="16042" max="16042" width="0.85546875" style="261" customWidth="1"/>
    <col min="16043" max="16047" width="6.7109375" style="261" customWidth="1"/>
    <col min="16048" max="16384" width="11.42578125" style="261"/>
  </cols>
  <sheetData>
    <row r="1" spans="1:21" ht="20.25" customHeight="1" x14ac:dyDescent="0.25">
      <c r="A1" s="482"/>
    </row>
    <row r="2" spans="1:21" ht="20.25" customHeight="1" x14ac:dyDescent="0.25">
      <c r="B2" s="848" t="s">
        <v>36</v>
      </c>
      <c r="C2" s="848"/>
      <c r="D2" s="848"/>
      <c r="E2" s="848"/>
      <c r="F2" s="848"/>
      <c r="G2" s="848"/>
      <c r="H2" s="848"/>
      <c r="I2" s="848"/>
      <c r="J2" s="848"/>
      <c r="K2" s="848"/>
      <c r="L2" s="848"/>
      <c r="M2" s="848"/>
      <c r="N2" s="848"/>
      <c r="O2" s="848"/>
      <c r="P2" s="848"/>
      <c r="Q2" s="848"/>
      <c r="R2" s="848"/>
      <c r="S2" s="848"/>
      <c r="T2" s="848"/>
      <c r="U2" s="848"/>
    </row>
    <row r="3" spans="1:21" ht="20.25" customHeight="1" x14ac:dyDescent="0.25">
      <c r="B3" s="262"/>
      <c r="C3" s="263"/>
      <c r="D3" s="263"/>
      <c r="E3" s="263"/>
      <c r="F3" s="263"/>
      <c r="G3" s="263"/>
      <c r="H3" s="263"/>
      <c r="I3" s="263"/>
      <c r="J3" s="263"/>
      <c r="K3" s="263"/>
      <c r="L3" s="263"/>
      <c r="M3" s="263"/>
      <c r="N3" s="263"/>
      <c r="O3" s="263"/>
      <c r="P3" s="263"/>
      <c r="Q3" s="263"/>
      <c r="R3" s="263"/>
      <c r="S3" s="263"/>
      <c r="T3" s="263"/>
      <c r="U3" s="263"/>
    </row>
    <row r="4" spans="1:21" s="135" customFormat="1" ht="20.25" customHeight="1" x14ac:dyDescent="0.25">
      <c r="B4" s="264"/>
      <c r="C4" s="408"/>
      <c r="F4" s="820" t="s">
        <v>170</v>
      </c>
      <c r="G4" s="821"/>
      <c r="H4" s="431"/>
      <c r="I4" s="822" t="str">
        <f>Production!I4</f>
        <v>Décembre 2025</v>
      </c>
      <c r="J4" s="823"/>
      <c r="K4" s="255"/>
      <c r="L4" s="824" t="str">
        <f>Production!L4</f>
        <v>Cumul à fin Décembre 2025</v>
      </c>
      <c r="M4" s="825"/>
      <c r="N4" s="8"/>
      <c r="O4" s="9" t="s">
        <v>0</v>
      </c>
      <c r="P4" s="268"/>
      <c r="Q4" s="849" t="s">
        <v>1</v>
      </c>
      <c r="R4" s="850"/>
      <c r="S4" s="850"/>
      <c r="T4" s="850"/>
      <c r="U4" s="851"/>
    </row>
    <row r="5" spans="1:21" s="135" customFormat="1" ht="30" customHeight="1" x14ac:dyDescent="0.25">
      <c r="B5" s="260"/>
      <c r="D5" s="269"/>
      <c r="F5" s="613" t="str">
        <f>Production!F5</f>
        <v>Décembre</v>
      </c>
      <c r="G5" s="613" t="str">
        <f>Production!G5</f>
        <v>Cumul à fin décembre</v>
      </c>
      <c r="H5" s="614"/>
      <c r="I5" s="11" t="s">
        <v>2</v>
      </c>
      <c r="J5" s="11" t="s">
        <v>3</v>
      </c>
      <c r="K5" s="255"/>
      <c r="L5" s="11" t="s">
        <v>2</v>
      </c>
      <c r="M5" s="11" t="s">
        <v>3</v>
      </c>
      <c r="N5" s="12"/>
      <c r="O5" s="13">
        <v>2025</v>
      </c>
      <c r="P5" s="268"/>
      <c r="Q5" s="849" t="s">
        <v>3</v>
      </c>
      <c r="R5" s="850"/>
      <c r="S5" s="851"/>
      <c r="T5" s="849" t="s">
        <v>4</v>
      </c>
      <c r="U5" s="851"/>
    </row>
    <row r="6" spans="1:21" s="272" customFormat="1" ht="20.25" customHeight="1" x14ac:dyDescent="0.25">
      <c r="B6" s="841"/>
      <c r="C6" s="841"/>
      <c r="D6" s="841"/>
      <c r="F6" s="273" t="s">
        <v>6</v>
      </c>
      <c r="G6" s="273" t="s">
        <v>7</v>
      </c>
      <c r="H6" s="274"/>
      <c r="I6" s="273" t="s">
        <v>8</v>
      </c>
      <c r="J6" s="273" t="s">
        <v>9</v>
      </c>
      <c r="K6" s="261"/>
      <c r="L6" s="273" t="s">
        <v>10</v>
      </c>
      <c r="M6" s="273" t="s">
        <v>11</v>
      </c>
      <c r="N6" s="275"/>
      <c r="O6" s="273" t="s">
        <v>12</v>
      </c>
      <c r="P6" s="135"/>
      <c r="Q6" s="276" t="s">
        <v>13</v>
      </c>
      <c r="R6" s="276" t="s">
        <v>14</v>
      </c>
      <c r="S6" s="276" t="s">
        <v>15</v>
      </c>
      <c r="T6" s="491" t="s">
        <v>158</v>
      </c>
      <c r="U6" s="491" t="s">
        <v>159</v>
      </c>
    </row>
    <row r="7" spans="1:21" s="278" customFormat="1" ht="24.95" customHeight="1" x14ac:dyDescent="0.25">
      <c r="B7" s="277" t="s">
        <v>110</v>
      </c>
      <c r="D7" s="842" t="s">
        <v>37</v>
      </c>
      <c r="E7" s="268"/>
      <c r="F7" s="279"/>
      <c r="G7" s="280"/>
      <c r="H7" s="281"/>
      <c r="I7" s="282"/>
      <c r="J7" s="280"/>
      <c r="K7" s="283"/>
      <c r="L7" s="282"/>
      <c r="M7" s="280"/>
      <c r="N7" s="284"/>
      <c r="O7" s="280"/>
      <c r="Q7" s="285" t="str">
        <f>IFERROR(J7/I7,"-")</f>
        <v>-</v>
      </c>
      <c r="R7" s="286" t="str">
        <f>IFERROR(M7/L7,"-")</f>
        <v>-</v>
      </c>
      <c r="S7" s="287" t="str">
        <f>IFERROR(M7/O7,"-")</f>
        <v>-</v>
      </c>
      <c r="T7" s="285" t="str">
        <f>IFERROR(J7/F7-1,"-")</f>
        <v>-</v>
      </c>
      <c r="U7" s="287" t="str">
        <f t="shared" ref="U7:U20" si="0">IFERROR(M7/G7-1,"-")</f>
        <v>-</v>
      </c>
    </row>
    <row r="8" spans="1:21" s="278" customFormat="1" ht="24.95" customHeight="1" x14ac:dyDescent="0.25">
      <c r="B8" s="288" t="s">
        <v>111</v>
      </c>
      <c r="D8" s="843"/>
      <c r="E8" s="268"/>
      <c r="F8" s="289"/>
      <c r="G8" s="290"/>
      <c r="H8" s="281"/>
      <c r="I8" s="289"/>
      <c r="J8" s="290"/>
      <c r="K8" s="283"/>
      <c r="L8" s="289"/>
      <c r="M8" s="290"/>
      <c r="N8" s="284"/>
      <c r="O8" s="290"/>
      <c r="Q8" s="291" t="str">
        <f>IFERROR(J8/I8,"-")</f>
        <v>-</v>
      </c>
      <c r="R8" s="292" t="str">
        <f t="shared" ref="R8:R20" si="1">IFERROR(M8/L8,"-")</f>
        <v>-</v>
      </c>
      <c r="S8" s="293" t="str">
        <f t="shared" ref="S8:S20" si="2">IFERROR(M8/O8,"-")</f>
        <v>-</v>
      </c>
      <c r="T8" s="291" t="str">
        <f t="shared" ref="T8:T20" si="3">IFERROR(J8/F8-1,"-")</f>
        <v>-</v>
      </c>
      <c r="U8" s="293" t="str">
        <f t="shared" si="0"/>
        <v>-</v>
      </c>
    </row>
    <row r="9" spans="1:21" s="278" customFormat="1" ht="24.95" customHeight="1" x14ac:dyDescent="0.25">
      <c r="B9" s="288" t="s">
        <v>112</v>
      </c>
      <c r="D9" s="843"/>
      <c r="E9" s="268"/>
      <c r="F9" s="289"/>
      <c r="G9" s="290"/>
      <c r="H9" s="281"/>
      <c r="I9" s="289"/>
      <c r="J9" s="289"/>
      <c r="K9" s="283"/>
      <c r="L9" s="289"/>
      <c r="M9" s="290"/>
      <c r="N9" s="284"/>
      <c r="O9" s="290"/>
      <c r="Q9" s="291" t="str">
        <f t="shared" ref="Q9:Q20" si="4">IFERROR(J9/I9,"-")</f>
        <v>-</v>
      </c>
      <c r="R9" s="292" t="str">
        <f>IFERROR(M9/L9,"-")</f>
        <v>-</v>
      </c>
      <c r="S9" s="293" t="str">
        <f t="shared" si="2"/>
        <v>-</v>
      </c>
      <c r="T9" s="291" t="str">
        <f t="shared" si="3"/>
        <v>-</v>
      </c>
      <c r="U9" s="293" t="str">
        <f t="shared" si="0"/>
        <v>-</v>
      </c>
    </row>
    <row r="10" spans="1:21" s="278" customFormat="1" ht="24.95" customHeight="1" x14ac:dyDescent="0.25">
      <c r="B10" s="288" t="s">
        <v>113</v>
      </c>
      <c r="D10" s="843"/>
      <c r="E10" s="268"/>
      <c r="F10" s="564"/>
      <c r="G10" s="290"/>
      <c r="H10" s="281"/>
      <c r="I10" s="289"/>
      <c r="J10" s="290"/>
      <c r="K10" s="283"/>
      <c r="L10" s="289"/>
      <c r="M10" s="290"/>
      <c r="N10" s="284"/>
      <c r="O10" s="290"/>
      <c r="Q10" s="458" t="str">
        <f t="shared" si="4"/>
        <v>-</v>
      </c>
      <c r="R10" s="459" t="str">
        <f t="shared" si="1"/>
        <v>-</v>
      </c>
      <c r="S10" s="294" t="str">
        <f t="shared" si="2"/>
        <v>-</v>
      </c>
      <c r="T10" s="458" t="str">
        <f t="shared" si="3"/>
        <v>-</v>
      </c>
      <c r="U10" s="294" t="str">
        <f t="shared" si="0"/>
        <v>-</v>
      </c>
    </row>
    <row r="11" spans="1:21" s="296" customFormat="1" ht="24.95" customHeight="1" x14ac:dyDescent="0.25">
      <c r="B11" s="295" t="s">
        <v>38</v>
      </c>
      <c r="D11" s="844"/>
      <c r="E11" s="297"/>
      <c r="F11" s="298"/>
      <c r="G11" s="298"/>
      <c r="H11" s="299"/>
      <c r="I11" s="298"/>
      <c r="J11" s="298"/>
      <c r="K11" s="299"/>
      <c r="L11" s="298"/>
      <c r="M11" s="298"/>
      <c r="N11" s="300"/>
      <c r="O11" s="298"/>
      <c r="P11" s="301"/>
      <c r="Q11" s="460" t="str">
        <f t="shared" si="4"/>
        <v>-</v>
      </c>
      <c r="R11" s="461" t="str">
        <f t="shared" si="1"/>
        <v>-</v>
      </c>
      <c r="S11" s="462" t="str">
        <f t="shared" si="2"/>
        <v>-</v>
      </c>
      <c r="T11" s="460" t="str">
        <f t="shared" si="3"/>
        <v>-</v>
      </c>
      <c r="U11" s="462" t="str">
        <f t="shared" si="0"/>
        <v>-</v>
      </c>
    </row>
    <row r="12" spans="1:21" s="297" customFormat="1" ht="6" customHeight="1" x14ac:dyDescent="0.25">
      <c r="B12" s="302"/>
      <c r="F12" s="303"/>
      <c r="G12" s="303"/>
      <c r="H12" s="303"/>
      <c r="I12" s="303"/>
      <c r="J12" s="303"/>
      <c r="K12" s="304"/>
      <c r="L12" s="303"/>
      <c r="M12" s="303"/>
      <c r="N12" s="303"/>
      <c r="O12" s="303"/>
      <c r="P12" s="305"/>
      <c r="Q12" s="292"/>
      <c r="R12" s="292"/>
      <c r="S12" s="292"/>
      <c r="T12" s="292"/>
      <c r="U12" s="292"/>
    </row>
    <row r="13" spans="1:21" s="301" customFormat="1" ht="23.1" customHeight="1" x14ac:dyDescent="0.25">
      <c r="B13" s="306" t="s">
        <v>39</v>
      </c>
      <c r="D13" s="307" t="s">
        <v>31</v>
      </c>
      <c r="E13" s="308"/>
      <c r="F13" s="280"/>
      <c r="G13" s="280"/>
      <c r="H13" s="309"/>
      <c r="I13" s="280"/>
      <c r="J13" s="280"/>
      <c r="K13" s="309"/>
      <c r="L13" s="280"/>
      <c r="M13" s="280"/>
      <c r="N13" s="284"/>
      <c r="O13" s="280"/>
      <c r="Q13" s="460" t="str">
        <f t="shared" si="4"/>
        <v>-</v>
      </c>
      <c r="R13" s="461" t="str">
        <f t="shared" si="1"/>
        <v>-</v>
      </c>
      <c r="S13" s="462" t="str">
        <f t="shared" si="2"/>
        <v>-</v>
      </c>
      <c r="T13" s="460" t="str">
        <f t="shared" si="3"/>
        <v>-</v>
      </c>
      <c r="U13" s="462" t="str">
        <f t="shared" si="0"/>
        <v>-</v>
      </c>
    </row>
    <row r="14" spans="1:21" s="301" customFormat="1" ht="23.1" customHeight="1" x14ac:dyDescent="0.25">
      <c r="B14" s="310" t="s">
        <v>40</v>
      </c>
      <c r="D14" s="307" t="s">
        <v>41</v>
      </c>
      <c r="E14" s="308"/>
      <c r="F14" s="311"/>
      <c r="G14" s="311"/>
      <c r="H14" s="309"/>
      <c r="I14" s="311"/>
      <c r="J14" s="311"/>
      <c r="K14" s="309"/>
      <c r="L14" s="311"/>
      <c r="M14" s="311"/>
      <c r="N14" s="284"/>
      <c r="O14" s="311"/>
      <c r="Q14" s="292"/>
      <c r="R14" s="292"/>
      <c r="S14" s="292"/>
      <c r="T14" s="292"/>
      <c r="U14" s="292"/>
    </row>
    <row r="15" spans="1:21" s="297" customFormat="1" ht="20.25" customHeight="1" x14ac:dyDescent="0.25">
      <c r="B15" s="302"/>
      <c r="E15" s="312"/>
      <c r="F15" s="313"/>
      <c r="G15" s="313"/>
      <c r="H15" s="303"/>
      <c r="I15" s="303"/>
      <c r="J15" s="314"/>
      <c r="K15" s="304"/>
      <c r="L15" s="303"/>
      <c r="M15" s="303"/>
      <c r="N15" s="303"/>
      <c r="O15" s="303"/>
      <c r="P15" s="305"/>
      <c r="Q15" s="292"/>
      <c r="R15" s="292"/>
      <c r="S15" s="292"/>
      <c r="T15" s="292"/>
      <c r="U15" s="292"/>
    </row>
    <row r="16" spans="1:21" s="301" customFormat="1" ht="24.95" customHeight="1" x14ac:dyDescent="0.25">
      <c r="B16" s="306" t="s">
        <v>42</v>
      </c>
      <c r="D16" s="845" t="s">
        <v>43</v>
      </c>
      <c r="E16" s="308"/>
      <c r="F16" s="280"/>
      <c r="G16" s="280"/>
      <c r="H16" s="281"/>
      <c r="I16" s="280"/>
      <c r="J16" s="280"/>
      <c r="K16" s="281"/>
      <c r="L16" s="525"/>
      <c r="M16" s="525"/>
      <c r="N16" s="280"/>
      <c r="O16" s="280"/>
      <c r="Q16" s="285" t="str">
        <f t="shared" si="4"/>
        <v>-</v>
      </c>
      <c r="R16" s="286" t="str">
        <f t="shared" si="1"/>
        <v>-</v>
      </c>
      <c r="S16" s="287" t="str">
        <f t="shared" si="2"/>
        <v>-</v>
      </c>
      <c r="T16" s="285" t="str">
        <f t="shared" si="3"/>
        <v>-</v>
      </c>
      <c r="U16" s="287" t="str">
        <f t="shared" si="0"/>
        <v>-</v>
      </c>
    </row>
    <row r="17" spans="2:21" s="301" customFormat="1" ht="24.95" customHeight="1" x14ac:dyDescent="0.25">
      <c r="B17" s="315" t="s">
        <v>44</v>
      </c>
      <c r="D17" s="846"/>
      <c r="E17" s="308"/>
      <c r="F17" s="290"/>
      <c r="G17" s="290"/>
      <c r="H17" s="281"/>
      <c r="I17" s="290"/>
      <c r="J17" s="290"/>
      <c r="K17" s="281"/>
      <c r="L17" s="290"/>
      <c r="M17" s="290"/>
      <c r="N17" s="290"/>
      <c r="O17" s="290"/>
      <c r="P17" s="316"/>
      <c r="Q17" s="291" t="str">
        <f t="shared" si="4"/>
        <v>-</v>
      </c>
      <c r="R17" s="292" t="str">
        <f t="shared" si="1"/>
        <v>-</v>
      </c>
      <c r="S17" s="293" t="str">
        <f t="shared" si="2"/>
        <v>-</v>
      </c>
      <c r="T17" s="291" t="str">
        <f t="shared" si="3"/>
        <v>-</v>
      </c>
      <c r="U17" s="293" t="str">
        <f t="shared" si="0"/>
        <v>-</v>
      </c>
    </row>
    <row r="18" spans="2:21" s="301" customFormat="1" ht="24.95" customHeight="1" x14ac:dyDescent="0.25">
      <c r="B18" s="315" t="s">
        <v>45</v>
      </c>
      <c r="D18" s="846"/>
      <c r="E18" s="308"/>
      <c r="F18" s="290"/>
      <c r="G18" s="290"/>
      <c r="H18" s="281"/>
      <c r="I18" s="290"/>
      <c r="J18" s="290"/>
      <c r="K18" s="281"/>
      <c r="L18" s="290"/>
      <c r="M18" s="290"/>
      <c r="N18" s="290"/>
      <c r="O18" s="290"/>
      <c r="Q18" s="291" t="str">
        <f t="shared" si="4"/>
        <v>-</v>
      </c>
      <c r="R18" s="292" t="str">
        <f t="shared" si="1"/>
        <v>-</v>
      </c>
      <c r="S18" s="293" t="str">
        <f t="shared" si="2"/>
        <v>-</v>
      </c>
      <c r="T18" s="291" t="str">
        <f t="shared" si="3"/>
        <v>-</v>
      </c>
      <c r="U18" s="293" t="str">
        <f t="shared" si="0"/>
        <v>-</v>
      </c>
    </row>
    <row r="19" spans="2:21" s="296" customFormat="1" ht="24.95" customHeight="1" x14ac:dyDescent="0.25">
      <c r="B19" s="317" t="s">
        <v>46</v>
      </c>
      <c r="D19" s="846"/>
      <c r="E19" s="297"/>
      <c r="F19" s="290"/>
      <c r="G19" s="290"/>
      <c r="H19" s="290"/>
      <c r="I19" s="290"/>
      <c r="J19" s="290"/>
      <c r="K19" s="290"/>
      <c r="L19" s="290"/>
      <c r="M19" s="290"/>
      <c r="N19" s="290"/>
      <c r="O19" s="290"/>
      <c r="P19" s="297"/>
      <c r="Q19" s="458" t="str">
        <f t="shared" si="4"/>
        <v>-</v>
      </c>
      <c r="R19" s="459" t="str">
        <f t="shared" si="1"/>
        <v>-</v>
      </c>
      <c r="S19" s="294" t="str">
        <f t="shared" si="2"/>
        <v>-</v>
      </c>
      <c r="T19" s="458" t="str">
        <f t="shared" si="3"/>
        <v>-</v>
      </c>
      <c r="U19" s="294" t="str">
        <f t="shared" si="0"/>
        <v>-</v>
      </c>
    </row>
    <row r="20" spans="2:21" s="296" customFormat="1" ht="24.95" customHeight="1" x14ac:dyDescent="0.25">
      <c r="B20" s="295" t="s">
        <v>47</v>
      </c>
      <c r="D20" s="847"/>
      <c r="E20" s="297"/>
      <c r="F20" s="318"/>
      <c r="G20" s="298"/>
      <c r="H20" s="300"/>
      <c r="I20" s="298"/>
      <c r="J20" s="298"/>
      <c r="K20" s="300"/>
      <c r="L20" s="298"/>
      <c r="M20" s="298"/>
      <c r="N20" s="300"/>
      <c r="O20" s="298"/>
      <c r="P20" s="319"/>
      <c r="Q20" s="460" t="str">
        <f t="shared" si="4"/>
        <v>-</v>
      </c>
      <c r="R20" s="461" t="str">
        <f t="shared" si="1"/>
        <v>-</v>
      </c>
      <c r="S20" s="462" t="str">
        <f t="shared" si="2"/>
        <v>-</v>
      </c>
      <c r="T20" s="659" t="str">
        <f t="shared" si="3"/>
        <v>-</v>
      </c>
      <c r="U20" s="462" t="str">
        <f t="shared" si="0"/>
        <v>-</v>
      </c>
    </row>
    <row r="21" spans="2:21" x14ac:dyDescent="0.25">
      <c r="F21" s="377"/>
      <c r="G21" s="377"/>
      <c r="H21" s="377"/>
      <c r="I21" s="377"/>
      <c r="J21" s="377"/>
      <c r="K21" s="377"/>
      <c r="L21" s="377"/>
      <c r="M21" s="377"/>
      <c r="N21" s="377"/>
      <c r="O21" s="377"/>
      <c r="P21" s="377"/>
    </row>
    <row r="22" spans="2:21" x14ac:dyDescent="0.25">
      <c r="F22" s="377"/>
      <c r="G22" s="377"/>
      <c r="H22" s="377"/>
      <c r="I22" s="377"/>
      <c r="J22" s="377"/>
      <c r="K22" s="377"/>
      <c r="L22" s="377"/>
      <c r="M22" s="377"/>
      <c r="N22" s="377"/>
      <c r="O22" s="377"/>
      <c r="P22" s="377"/>
    </row>
    <row r="23" spans="2:21" x14ac:dyDescent="0.25">
      <c r="F23" s="377"/>
      <c r="G23" s="377"/>
      <c r="H23" s="377"/>
      <c r="I23" s="377"/>
      <c r="J23" s="377"/>
      <c r="K23" s="377"/>
      <c r="L23" s="377"/>
      <c r="M23" s="377"/>
      <c r="N23" s="377"/>
      <c r="O23" s="377"/>
      <c r="P23" s="377"/>
      <c r="Q23" s="377"/>
    </row>
    <row r="24" spans="2:21" x14ac:dyDescent="0.25">
      <c r="F24" s="377"/>
      <c r="G24" s="377"/>
      <c r="H24" s="377"/>
      <c r="I24" s="377"/>
      <c r="J24" s="377"/>
      <c r="K24" s="377"/>
      <c r="L24" s="377"/>
      <c r="M24" s="377"/>
      <c r="N24" s="377"/>
      <c r="O24" s="377"/>
      <c r="P24" s="377"/>
    </row>
    <row r="25" spans="2:21" x14ac:dyDescent="0.25">
      <c r="F25" s="377"/>
      <c r="G25" s="377"/>
      <c r="H25" s="377"/>
      <c r="I25" s="377"/>
      <c r="J25" s="377"/>
      <c r="K25" s="377"/>
      <c r="L25" s="377"/>
      <c r="M25" s="377"/>
      <c r="N25" s="377"/>
      <c r="O25" s="377"/>
      <c r="P25" s="377"/>
      <c r="Q25" s="377"/>
    </row>
    <row r="26" spans="2:21" x14ac:dyDescent="0.25">
      <c r="F26" s="377"/>
      <c r="G26" s="377"/>
      <c r="H26" s="377"/>
      <c r="I26" s="377"/>
      <c r="J26" s="377"/>
      <c r="K26" s="377"/>
      <c r="L26" s="377"/>
      <c r="M26" s="377"/>
      <c r="N26" s="377"/>
      <c r="O26" s="377"/>
      <c r="P26" s="377"/>
    </row>
    <row r="27" spans="2:21" x14ac:dyDescent="0.25">
      <c r="F27" s="377"/>
      <c r="G27" s="377"/>
      <c r="H27" s="377"/>
      <c r="I27" s="377"/>
      <c r="J27" s="377"/>
      <c r="K27" s="377"/>
      <c r="L27" s="377"/>
      <c r="M27" s="377"/>
      <c r="N27" s="377"/>
      <c r="O27" s="377"/>
      <c r="P27" s="377"/>
      <c r="Q27" s="377"/>
    </row>
    <row r="28" spans="2:21" x14ac:dyDescent="0.25">
      <c r="F28" s="377"/>
      <c r="G28" s="377"/>
      <c r="H28" s="377"/>
      <c r="I28" s="377"/>
      <c r="J28" s="377"/>
      <c r="K28" s="377"/>
      <c r="L28" s="377"/>
      <c r="M28" s="377"/>
      <c r="N28" s="377"/>
      <c r="O28" s="377"/>
      <c r="P28" s="377"/>
    </row>
    <row r="29" spans="2:21" x14ac:dyDescent="0.25">
      <c r="F29" s="377"/>
      <c r="G29" s="377"/>
      <c r="H29" s="377"/>
      <c r="I29" s="377"/>
      <c r="J29" s="377"/>
      <c r="K29" s="377"/>
      <c r="L29" s="377"/>
      <c r="M29" s="377"/>
      <c r="N29" s="377"/>
      <c r="O29" s="377"/>
      <c r="P29" s="377"/>
      <c r="Q29" s="377"/>
      <c r="R29" s="377"/>
      <c r="S29" s="377"/>
    </row>
    <row r="30" spans="2:21" x14ac:dyDescent="0.25">
      <c r="F30" s="377"/>
      <c r="G30" s="377"/>
      <c r="H30" s="377"/>
      <c r="I30" s="377"/>
      <c r="J30" s="377"/>
      <c r="K30" s="377"/>
      <c r="L30" s="377"/>
      <c r="M30" s="377"/>
      <c r="N30" s="377"/>
      <c r="O30" s="377"/>
      <c r="P30" s="377"/>
    </row>
    <row r="31" spans="2:21" x14ac:dyDescent="0.25">
      <c r="F31" s="377"/>
      <c r="G31" s="377"/>
      <c r="H31" s="377"/>
      <c r="I31" s="377"/>
      <c r="J31" s="377"/>
      <c r="K31" s="377"/>
      <c r="L31" s="377"/>
      <c r="M31" s="377"/>
      <c r="N31" s="377"/>
      <c r="O31" s="377"/>
      <c r="P31" s="377"/>
      <c r="Q31" s="377"/>
      <c r="R31" s="377"/>
    </row>
    <row r="32" spans="2:21" x14ac:dyDescent="0.25">
      <c r="F32" s="377"/>
      <c r="G32" s="377"/>
      <c r="H32" s="377"/>
      <c r="I32" s="377"/>
      <c r="J32" s="377"/>
      <c r="K32" s="377"/>
      <c r="L32" s="377"/>
      <c r="M32" s="377"/>
      <c r="N32" s="377"/>
      <c r="O32" s="377"/>
      <c r="P32" s="377"/>
      <c r="Q32" s="377"/>
      <c r="R32" s="377"/>
    </row>
    <row r="33" spans="6:18" x14ac:dyDescent="0.25">
      <c r="F33" s="377"/>
      <c r="G33" s="377"/>
      <c r="H33" s="377"/>
      <c r="I33" s="377"/>
      <c r="J33" s="377"/>
      <c r="K33" s="377"/>
      <c r="L33" s="377"/>
      <c r="M33" s="377"/>
      <c r="N33" s="377"/>
      <c r="O33" s="377"/>
      <c r="P33" s="377"/>
      <c r="Q33" s="377"/>
      <c r="R33" s="377"/>
    </row>
    <row r="34" spans="6:18" x14ac:dyDescent="0.25">
      <c r="F34" s="377"/>
      <c r="G34" s="377"/>
      <c r="H34" s="377"/>
      <c r="I34" s="377"/>
      <c r="J34" s="377"/>
      <c r="K34" s="377"/>
      <c r="L34" s="377"/>
      <c r="M34" s="377"/>
      <c r="N34" s="377"/>
      <c r="O34" s="377"/>
      <c r="P34" s="377"/>
    </row>
    <row r="35" spans="6:18" x14ac:dyDescent="0.25">
      <c r="F35" s="377"/>
      <c r="G35" s="377"/>
      <c r="H35" s="377"/>
      <c r="I35" s="377"/>
      <c r="J35" s="377"/>
      <c r="K35" s="377"/>
      <c r="L35" s="377"/>
      <c r="M35" s="377"/>
      <c r="N35" s="377"/>
      <c r="O35" s="377"/>
      <c r="P35" s="377"/>
    </row>
    <row r="36" spans="6:18" x14ac:dyDescent="0.25">
      <c r="F36" s="377"/>
      <c r="G36" s="377"/>
      <c r="H36" s="377"/>
      <c r="I36" s="377"/>
      <c r="J36" s="377"/>
      <c r="K36" s="377"/>
      <c r="L36" s="377"/>
      <c r="M36" s="377"/>
      <c r="N36" s="377"/>
      <c r="O36" s="377"/>
      <c r="P36" s="377"/>
    </row>
    <row r="37" spans="6:18" x14ac:dyDescent="0.25">
      <c r="F37" s="377"/>
      <c r="G37" s="377"/>
      <c r="H37" s="377"/>
      <c r="I37" s="377"/>
      <c r="J37" s="377"/>
      <c r="K37" s="377"/>
      <c r="L37" s="377"/>
      <c r="M37" s="377"/>
      <c r="N37" s="377"/>
      <c r="O37" s="377"/>
      <c r="P37" s="377"/>
    </row>
    <row r="38" spans="6:18" x14ac:dyDescent="0.25">
      <c r="F38" s="377"/>
      <c r="G38" s="377"/>
      <c r="H38" s="377"/>
      <c r="I38" s="377"/>
      <c r="J38" s="377"/>
      <c r="K38" s="377"/>
      <c r="L38" s="377"/>
      <c r="M38" s="377"/>
      <c r="N38" s="377"/>
      <c r="O38" s="377"/>
      <c r="P38" s="377"/>
    </row>
    <row r="39" spans="6:18" x14ac:dyDescent="0.25">
      <c r="F39" s="377"/>
      <c r="G39" s="377"/>
      <c r="H39" s="377"/>
      <c r="I39" s="377"/>
      <c r="J39" s="377"/>
      <c r="K39" s="377"/>
      <c r="L39" s="377"/>
      <c r="M39" s="377"/>
      <c r="N39" s="377"/>
      <c r="O39" s="377"/>
      <c r="P39" s="377"/>
    </row>
    <row r="40" spans="6:18" x14ac:dyDescent="0.25">
      <c r="F40" s="377"/>
      <c r="G40" s="377"/>
      <c r="H40" s="377"/>
      <c r="I40" s="377"/>
      <c r="J40" s="377"/>
      <c r="K40" s="377"/>
      <c r="L40" s="377"/>
      <c r="M40" s="377"/>
      <c r="N40" s="377"/>
      <c r="O40" s="377"/>
      <c r="P40" s="377"/>
    </row>
    <row r="41" spans="6:18" x14ac:dyDescent="0.25">
      <c r="F41" s="377"/>
      <c r="G41" s="377"/>
      <c r="H41" s="377"/>
      <c r="I41" s="377"/>
      <c r="J41" s="377"/>
      <c r="K41" s="377"/>
      <c r="L41" s="377"/>
      <c r="M41" s="377"/>
      <c r="N41" s="377"/>
      <c r="O41" s="542"/>
      <c r="P41" s="377"/>
    </row>
    <row r="42" spans="6:18" x14ac:dyDescent="0.25">
      <c r="F42" s="377"/>
      <c r="G42" s="377"/>
      <c r="H42" s="377"/>
      <c r="I42" s="377"/>
      <c r="J42" s="377"/>
      <c r="K42" s="377"/>
      <c r="L42" s="377"/>
      <c r="M42" s="377"/>
      <c r="N42" s="377"/>
      <c r="O42" s="377"/>
      <c r="P42" s="377"/>
    </row>
    <row r="43" spans="6:18" x14ac:dyDescent="0.25">
      <c r="F43" s="377"/>
      <c r="G43" s="377"/>
      <c r="H43" s="377"/>
      <c r="I43" s="377"/>
      <c r="J43" s="377"/>
      <c r="K43" s="377"/>
      <c r="L43" s="377"/>
      <c r="M43" s="377"/>
      <c r="N43" s="377"/>
      <c r="O43" s="377"/>
      <c r="P43" s="377"/>
    </row>
    <row r="44" spans="6:18" x14ac:dyDescent="0.25">
      <c r="F44" s="377"/>
      <c r="G44" s="377"/>
      <c r="H44" s="377"/>
      <c r="I44" s="377"/>
      <c r="J44" s="377"/>
      <c r="K44" s="377"/>
      <c r="L44" s="377"/>
      <c r="M44" s="377"/>
      <c r="N44" s="377"/>
      <c r="O44" s="377"/>
      <c r="P44" s="377"/>
    </row>
    <row r="45" spans="6:18" x14ac:dyDescent="0.25">
      <c r="F45" s="377"/>
      <c r="G45" s="377"/>
      <c r="H45" s="377"/>
      <c r="I45" s="377"/>
      <c r="J45" s="377"/>
      <c r="K45" s="377"/>
      <c r="L45" s="377"/>
      <c r="M45" s="377"/>
      <c r="N45" s="377"/>
      <c r="O45" s="377"/>
      <c r="P45" s="377"/>
    </row>
    <row r="46" spans="6:18" x14ac:dyDescent="0.25">
      <c r="F46" s="377"/>
      <c r="G46" s="377"/>
      <c r="H46" s="377"/>
      <c r="I46" s="377"/>
      <c r="J46" s="377"/>
      <c r="K46" s="377"/>
      <c r="L46" s="377"/>
      <c r="M46" s="377"/>
      <c r="N46" s="377"/>
      <c r="O46" s="377"/>
      <c r="P46" s="377"/>
    </row>
    <row r="47" spans="6:18" x14ac:dyDescent="0.25">
      <c r="F47" s="377"/>
      <c r="G47" s="377"/>
      <c r="H47" s="377"/>
      <c r="I47" s="377"/>
      <c r="J47" s="377"/>
      <c r="K47" s="377"/>
      <c r="L47" s="377"/>
      <c r="M47" s="377"/>
      <c r="N47" s="377"/>
      <c r="O47" s="377"/>
      <c r="P47" s="377"/>
    </row>
    <row r="48" spans="6:18" x14ac:dyDescent="0.25">
      <c r="F48" s="377"/>
      <c r="G48" s="377"/>
      <c r="H48" s="377"/>
      <c r="I48" s="377"/>
      <c r="J48" s="377"/>
      <c r="K48" s="377"/>
      <c r="L48" s="377"/>
      <c r="M48" s="377"/>
      <c r="N48" s="377"/>
      <c r="O48" s="377"/>
      <c r="P48" s="377"/>
    </row>
  </sheetData>
  <mergeCells count="10">
    <mergeCell ref="B6:D6"/>
    <mergeCell ref="D7:D11"/>
    <mergeCell ref="D16:D20"/>
    <mergeCell ref="B2:U2"/>
    <mergeCell ref="F4:G4"/>
    <mergeCell ref="I4:J4"/>
    <mergeCell ref="L4:M4"/>
    <mergeCell ref="Q4:U4"/>
    <mergeCell ref="Q5:S5"/>
    <mergeCell ref="T5:U5"/>
  </mergeCell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72" orientation="landscape" r:id="rId1"/>
  <headerFooter>
    <oddFooter>&amp;LDCP SPE&amp;R&amp;P</oddFooter>
  </headerFooter>
  <customProperties>
    <customPr name="EpmWorksheetKeyString_GUID" r:id="rId2"/>
  </customProperties>
  <ignoredErrors>
    <ignoredError sqref="F6:O6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W70"/>
  <sheetViews>
    <sheetView showGridLines="0" view="pageBreakPreview" topLeftCell="B1" zoomScale="85" zoomScaleNormal="85" zoomScaleSheetLayoutView="85" workbookViewId="0">
      <selection activeCell="F8" sqref="F8:O36"/>
    </sheetView>
  </sheetViews>
  <sheetFormatPr baseColWidth="10" defaultColWidth="11.42578125" defaultRowHeight="12.75" x14ac:dyDescent="0.25"/>
  <cols>
    <col min="1" max="1" width="3.5703125" style="48" customWidth="1"/>
    <col min="2" max="2" width="30.140625" style="79" bestFit="1" customWidth="1"/>
    <col min="3" max="3" width="0.85546875" style="48" customWidth="1"/>
    <col min="4" max="4" width="10.7109375" style="49" customWidth="1"/>
    <col min="5" max="5" width="0.85546875" style="49" customWidth="1"/>
    <col min="6" max="6" width="15.7109375" style="49" customWidth="1"/>
    <col min="7" max="7" width="15.7109375" style="48" customWidth="1"/>
    <col min="8" max="8" width="0.85546875" style="48" customWidth="1"/>
    <col min="9" max="10" width="15.7109375" style="48" customWidth="1"/>
    <col min="11" max="11" width="0.85546875" style="48" customWidth="1"/>
    <col min="12" max="13" width="15.7109375" style="48" customWidth="1"/>
    <col min="14" max="14" width="0.85546875" style="48" customWidth="1"/>
    <col min="15" max="15" width="15.7109375" style="48" customWidth="1"/>
    <col min="16" max="16" width="0.85546875" style="48" customWidth="1"/>
    <col min="17" max="21" width="7.7109375" style="48" customWidth="1"/>
    <col min="22" max="197" width="11.42578125" style="48"/>
    <col min="198" max="198" width="3.42578125" style="48" customWidth="1"/>
    <col min="199" max="199" width="26.5703125" style="48" customWidth="1"/>
    <col min="200" max="200" width="0.85546875" style="48" customWidth="1"/>
    <col min="201" max="201" width="10.7109375" style="48" customWidth="1"/>
    <col min="202" max="202" width="0.85546875" style="48" customWidth="1"/>
    <col min="203" max="203" width="15.7109375" style="48" customWidth="1"/>
    <col min="204" max="204" width="19.5703125" style="48" customWidth="1"/>
    <col min="205" max="205" width="0.85546875" style="48" customWidth="1"/>
    <col min="206" max="207" width="14.7109375" style="48" customWidth="1"/>
    <col min="208" max="208" width="0.85546875" style="48" customWidth="1"/>
    <col min="209" max="210" width="14.7109375" style="48" customWidth="1"/>
    <col min="211" max="211" width="0.85546875" style="48" customWidth="1"/>
    <col min="212" max="212" width="14.7109375" style="48" customWidth="1"/>
    <col min="213" max="213" width="0.85546875" style="48" customWidth="1"/>
    <col min="214" max="214" width="7.7109375" style="48" customWidth="1"/>
    <col min="215" max="216" width="6.7109375" style="48" customWidth="1"/>
    <col min="217" max="217" width="8.28515625" style="48" customWidth="1"/>
    <col min="218" max="218" width="8.7109375" style="48" customWidth="1"/>
    <col min="219" max="453" width="11.42578125" style="48"/>
    <col min="454" max="454" width="3.42578125" style="48" customWidth="1"/>
    <col min="455" max="455" width="26.5703125" style="48" customWidth="1"/>
    <col min="456" max="456" width="0.85546875" style="48" customWidth="1"/>
    <col min="457" max="457" width="10.7109375" style="48" customWidth="1"/>
    <col min="458" max="458" width="0.85546875" style="48" customWidth="1"/>
    <col min="459" max="459" width="15.7109375" style="48" customWidth="1"/>
    <col min="460" max="460" width="19.5703125" style="48" customWidth="1"/>
    <col min="461" max="461" width="0.85546875" style="48" customWidth="1"/>
    <col min="462" max="463" width="14.7109375" style="48" customWidth="1"/>
    <col min="464" max="464" width="0.85546875" style="48" customWidth="1"/>
    <col min="465" max="466" width="14.7109375" style="48" customWidth="1"/>
    <col min="467" max="467" width="0.85546875" style="48" customWidth="1"/>
    <col min="468" max="468" width="14.7109375" style="48" customWidth="1"/>
    <col min="469" max="469" width="0.85546875" style="48" customWidth="1"/>
    <col min="470" max="470" width="7.7109375" style="48" customWidth="1"/>
    <col min="471" max="472" width="6.7109375" style="48" customWidth="1"/>
    <col min="473" max="473" width="8.28515625" style="48" customWidth="1"/>
    <col min="474" max="474" width="8.7109375" style="48" customWidth="1"/>
    <col min="475" max="709" width="11.42578125" style="48"/>
    <col min="710" max="710" width="3.42578125" style="48" customWidth="1"/>
    <col min="711" max="711" width="26.5703125" style="48" customWidth="1"/>
    <col min="712" max="712" width="0.85546875" style="48" customWidth="1"/>
    <col min="713" max="713" width="10.7109375" style="48" customWidth="1"/>
    <col min="714" max="714" width="0.85546875" style="48" customWidth="1"/>
    <col min="715" max="715" width="15.7109375" style="48" customWidth="1"/>
    <col min="716" max="716" width="19.5703125" style="48" customWidth="1"/>
    <col min="717" max="717" width="0.85546875" style="48" customWidth="1"/>
    <col min="718" max="719" width="14.7109375" style="48" customWidth="1"/>
    <col min="720" max="720" width="0.85546875" style="48" customWidth="1"/>
    <col min="721" max="722" width="14.7109375" style="48" customWidth="1"/>
    <col min="723" max="723" width="0.85546875" style="48" customWidth="1"/>
    <col min="724" max="724" width="14.7109375" style="48" customWidth="1"/>
    <col min="725" max="725" width="0.85546875" style="48" customWidth="1"/>
    <col min="726" max="726" width="7.7109375" style="48" customWidth="1"/>
    <col min="727" max="728" width="6.7109375" style="48" customWidth="1"/>
    <col min="729" max="729" width="8.28515625" style="48" customWidth="1"/>
    <col min="730" max="730" width="8.7109375" style="48" customWidth="1"/>
    <col min="731" max="965" width="11.42578125" style="48"/>
    <col min="966" max="966" width="3.42578125" style="48" customWidth="1"/>
    <col min="967" max="967" width="26.5703125" style="48" customWidth="1"/>
    <col min="968" max="968" width="0.85546875" style="48" customWidth="1"/>
    <col min="969" max="969" width="10.7109375" style="48" customWidth="1"/>
    <col min="970" max="970" width="0.85546875" style="48" customWidth="1"/>
    <col min="971" max="971" width="15.7109375" style="48" customWidth="1"/>
    <col min="972" max="972" width="19.5703125" style="48" customWidth="1"/>
    <col min="973" max="973" width="0.85546875" style="48" customWidth="1"/>
    <col min="974" max="975" width="14.7109375" style="48" customWidth="1"/>
    <col min="976" max="976" width="0.85546875" style="48" customWidth="1"/>
    <col min="977" max="978" width="14.7109375" style="48" customWidth="1"/>
    <col min="979" max="979" width="0.85546875" style="48" customWidth="1"/>
    <col min="980" max="980" width="14.7109375" style="48" customWidth="1"/>
    <col min="981" max="981" width="0.85546875" style="48" customWidth="1"/>
    <col min="982" max="982" width="7.7109375" style="48" customWidth="1"/>
    <col min="983" max="984" width="6.7109375" style="48" customWidth="1"/>
    <col min="985" max="985" width="8.28515625" style="48" customWidth="1"/>
    <col min="986" max="986" width="8.7109375" style="48" customWidth="1"/>
    <col min="987" max="1221" width="11.42578125" style="48"/>
    <col min="1222" max="1222" width="3.42578125" style="48" customWidth="1"/>
    <col min="1223" max="1223" width="26.5703125" style="48" customWidth="1"/>
    <col min="1224" max="1224" width="0.85546875" style="48" customWidth="1"/>
    <col min="1225" max="1225" width="10.7109375" style="48" customWidth="1"/>
    <col min="1226" max="1226" width="0.85546875" style="48" customWidth="1"/>
    <col min="1227" max="1227" width="15.7109375" style="48" customWidth="1"/>
    <col min="1228" max="1228" width="19.5703125" style="48" customWidth="1"/>
    <col min="1229" max="1229" width="0.85546875" style="48" customWidth="1"/>
    <col min="1230" max="1231" width="14.7109375" style="48" customWidth="1"/>
    <col min="1232" max="1232" width="0.85546875" style="48" customWidth="1"/>
    <col min="1233" max="1234" width="14.7109375" style="48" customWidth="1"/>
    <col min="1235" max="1235" width="0.85546875" style="48" customWidth="1"/>
    <col min="1236" max="1236" width="14.7109375" style="48" customWidth="1"/>
    <col min="1237" max="1237" width="0.85546875" style="48" customWidth="1"/>
    <col min="1238" max="1238" width="7.7109375" style="48" customWidth="1"/>
    <col min="1239" max="1240" width="6.7109375" style="48" customWidth="1"/>
    <col min="1241" max="1241" width="8.28515625" style="48" customWidth="1"/>
    <col min="1242" max="1242" width="8.7109375" style="48" customWidth="1"/>
    <col min="1243" max="1477" width="11.42578125" style="48"/>
    <col min="1478" max="1478" width="3.42578125" style="48" customWidth="1"/>
    <col min="1479" max="1479" width="26.5703125" style="48" customWidth="1"/>
    <col min="1480" max="1480" width="0.85546875" style="48" customWidth="1"/>
    <col min="1481" max="1481" width="10.7109375" style="48" customWidth="1"/>
    <col min="1482" max="1482" width="0.85546875" style="48" customWidth="1"/>
    <col min="1483" max="1483" width="15.7109375" style="48" customWidth="1"/>
    <col min="1484" max="1484" width="19.5703125" style="48" customWidth="1"/>
    <col min="1485" max="1485" width="0.85546875" style="48" customWidth="1"/>
    <col min="1486" max="1487" width="14.7109375" style="48" customWidth="1"/>
    <col min="1488" max="1488" width="0.85546875" style="48" customWidth="1"/>
    <col min="1489" max="1490" width="14.7109375" style="48" customWidth="1"/>
    <col min="1491" max="1491" width="0.85546875" style="48" customWidth="1"/>
    <col min="1492" max="1492" width="14.7109375" style="48" customWidth="1"/>
    <col min="1493" max="1493" width="0.85546875" style="48" customWidth="1"/>
    <col min="1494" max="1494" width="7.7109375" style="48" customWidth="1"/>
    <col min="1495" max="1496" width="6.7109375" style="48" customWidth="1"/>
    <col min="1497" max="1497" width="8.28515625" style="48" customWidth="1"/>
    <col min="1498" max="1498" width="8.7109375" style="48" customWidth="1"/>
    <col min="1499" max="1733" width="11.42578125" style="48"/>
    <col min="1734" max="1734" width="3.42578125" style="48" customWidth="1"/>
    <col min="1735" max="1735" width="26.5703125" style="48" customWidth="1"/>
    <col min="1736" max="1736" width="0.85546875" style="48" customWidth="1"/>
    <col min="1737" max="1737" width="10.7109375" style="48" customWidth="1"/>
    <col min="1738" max="1738" width="0.85546875" style="48" customWidth="1"/>
    <col min="1739" max="1739" width="15.7109375" style="48" customWidth="1"/>
    <col min="1740" max="1740" width="19.5703125" style="48" customWidth="1"/>
    <col min="1741" max="1741" width="0.85546875" style="48" customWidth="1"/>
    <col min="1742" max="1743" width="14.7109375" style="48" customWidth="1"/>
    <col min="1744" max="1744" width="0.85546875" style="48" customWidth="1"/>
    <col min="1745" max="1746" width="14.7109375" style="48" customWidth="1"/>
    <col min="1747" max="1747" width="0.85546875" style="48" customWidth="1"/>
    <col min="1748" max="1748" width="14.7109375" style="48" customWidth="1"/>
    <col min="1749" max="1749" width="0.85546875" style="48" customWidth="1"/>
    <col min="1750" max="1750" width="7.7109375" style="48" customWidth="1"/>
    <col min="1751" max="1752" width="6.7109375" style="48" customWidth="1"/>
    <col min="1753" max="1753" width="8.28515625" style="48" customWidth="1"/>
    <col min="1754" max="1754" width="8.7109375" style="48" customWidth="1"/>
    <col min="1755" max="1989" width="11.42578125" style="48"/>
    <col min="1990" max="1990" width="3.42578125" style="48" customWidth="1"/>
    <col min="1991" max="1991" width="26.5703125" style="48" customWidth="1"/>
    <col min="1992" max="1992" width="0.85546875" style="48" customWidth="1"/>
    <col min="1993" max="1993" width="10.7109375" style="48" customWidth="1"/>
    <col min="1994" max="1994" width="0.85546875" style="48" customWidth="1"/>
    <col min="1995" max="1995" width="15.7109375" style="48" customWidth="1"/>
    <col min="1996" max="1996" width="19.5703125" style="48" customWidth="1"/>
    <col min="1997" max="1997" width="0.85546875" style="48" customWidth="1"/>
    <col min="1998" max="1999" width="14.7109375" style="48" customWidth="1"/>
    <col min="2000" max="2000" width="0.85546875" style="48" customWidth="1"/>
    <col min="2001" max="2002" width="14.7109375" style="48" customWidth="1"/>
    <col min="2003" max="2003" width="0.85546875" style="48" customWidth="1"/>
    <col min="2004" max="2004" width="14.7109375" style="48" customWidth="1"/>
    <col min="2005" max="2005" width="0.85546875" style="48" customWidth="1"/>
    <col min="2006" max="2006" width="7.7109375" style="48" customWidth="1"/>
    <col min="2007" max="2008" width="6.7109375" style="48" customWidth="1"/>
    <col min="2009" max="2009" width="8.28515625" style="48" customWidth="1"/>
    <col min="2010" max="2010" width="8.7109375" style="48" customWidth="1"/>
    <col min="2011" max="2245" width="11.42578125" style="48"/>
    <col min="2246" max="2246" width="3.42578125" style="48" customWidth="1"/>
    <col min="2247" max="2247" width="26.5703125" style="48" customWidth="1"/>
    <col min="2248" max="2248" width="0.85546875" style="48" customWidth="1"/>
    <col min="2249" max="2249" width="10.7109375" style="48" customWidth="1"/>
    <col min="2250" max="2250" width="0.85546875" style="48" customWidth="1"/>
    <col min="2251" max="2251" width="15.7109375" style="48" customWidth="1"/>
    <col min="2252" max="2252" width="19.5703125" style="48" customWidth="1"/>
    <col min="2253" max="2253" width="0.85546875" style="48" customWidth="1"/>
    <col min="2254" max="2255" width="14.7109375" style="48" customWidth="1"/>
    <col min="2256" max="2256" width="0.85546875" style="48" customWidth="1"/>
    <col min="2257" max="2258" width="14.7109375" style="48" customWidth="1"/>
    <col min="2259" max="2259" width="0.85546875" style="48" customWidth="1"/>
    <col min="2260" max="2260" width="14.7109375" style="48" customWidth="1"/>
    <col min="2261" max="2261" width="0.85546875" style="48" customWidth="1"/>
    <col min="2262" max="2262" width="7.7109375" style="48" customWidth="1"/>
    <col min="2263" max="2264" width="6.7109375" style="48" customWidth="1"/>
    <col min="2265" max="2265" width="8.28515625" style="48" customWidth="1"/>
    <col min="2266" max="2266" width="8.7109375" style="48" customWidth="1"/>
    <col min="2267" max="2501" width="11.42578125" style="48"/>
    <col min="2502" max="2502" width="3.42578125" style="48" customWidth="1"/>
    <col min="2503" max="2503" width="26.5703125" style="48" customWidth="1"/>
    <col min="2504" max="2504" width="0.85546875" style="48" customWidth="1"/>
    <col min="2505" max="2505" width="10.7109375" style="48" customWidth="1"/>
    <col min="2506" max="2506" width="0.85546875" style="48" customWidth="1"/>
    <col min="2507" max="2507" width="15.7109375" style="48" customWidth="1"/>
    <col min="2508" max="2508" width="19.5703125" style="48" customWidth="1"/>
    <col min="2509" max="2509" width="0.85546875" style="48" customWidth="1"/>
    <col min="2510" max="2511" width="14.7109375" style="48" customWidth="1"/>
    <col min="2512" max="2512" width="0.85546875" style="48" customWidth="1"/>
    <col min="2513" max="2514" width="14.7109375" style="48" customWidth="1"/>
    <col min="2515" max="2515" width="0.85546875" style="48" customWidth="1"/>
    <col min="2516" max="2516" width="14.7109375" style="48" customWidth="1"/>
    <col min="2517" max="2517" width="0.85546875" style="48" customWidth="1"/>
    <col min="2518" max="2518" width="7.7109375" style="48" customWidth="1"/>
    <col min="2519" max="2520" width="6.7109375" style="48" customWidth="1"/>
    <col min="2521" max="2521" width="8.28515625" style="48" customWidth="1"/>
    <col min="2522" max="2522" width="8.7109375" style="48" customWidth="1"/>
    <col min="2523" max="2757" width="11.42578125" style="48"/>
    <col min="2758" max="2758" width="3.42578125" style="48" customWidth="1"/>
    <col min="2759" max="2759" width="26.5703125" style="48" customWidth="1"/>
    <col min="2760" max="2760" width="0.85546875" style="48" customWidth="1"/>
    <col min="2761" max="2761" width="10.7109375" style="48" customWidth="1"/>
    <col min="2762" max="2762" width="0.85546875" style="48" customWidth="1"/>
    <col min="2763" max="2763" width="15.7109375" style="48" customWidth="1"/>
    <col min="2764" max="2764" width="19.5703125" style="48" customWidth="1"/>
    <col min="2765" max="2765" width="0.85546875" style="48" customWidth="1"/>
    <col min="2766" max="2767" width="14.7109375" style="48" customWidth="1"/>
    <col min="2768" max="2768" width="0.85546875" style="48" customWidth="1"/>
    <col min="2769" max="2770" width="14.7109375" style="48" customWidth="1"/>
    <col min="2771" max="2771" width="0.85546875" style="48" customWidth="1"/>
    <col min="2772" max="2772" width="14.7109375" style="48" customWidth="1"/>
    <col min="2773" max="2773" width="0.85546875" style="48" customWidth="1"/>
    <col min="2774" max="2774" width="7.7109375" style="48" customWidth="1"/>
    <col min="2775" max="2776" width="6.7109375" style="48" customWidth="1"/>
    <col min="2777" max="2777" width="8.28515625" style="48" customWidth="1"/>
    <col min="2778" max="2778" width="8.7109375" style="48" customWidth="1"/>
    <col min="2779" max="3013" width="11.42578125" style="48"/>
    <col min="3014" max="3014" width="3.42578125" style="48" customWidth="1"/>
    <col min="3015" max="3015" width="26.5703125" style="48" customWidth="1"/>
    <col min="3016" max="3016" width="0.85546875" style="48" customWidth="1"/>
    <col min="3017" max="3017" width="10.7109375" style="48" customWidth="1"/>
    <col min="3018" max="3018" width="0.85546875" style="48" customWidth="1"/>
    <col min="3019" max="3019" width="15.7109375" style="48" customWidth="1"/>
    <col min="3020" max="3020" width="19.5703125" style="48" customWidth="1"/>
    <col min="3021" max="3021" width="0.85546875" style="48" customWidth="1"/>
    <col min="3022" max="3023" width="14.7109375" style="48" customWidth="1"/>
    <col min="3024" max="3024" width="0.85546875" style="48" customWidth="1"/>
    <col min="3025" max="3026" width="14.7109375" style="48" customWidth="1"/>
    <col min="3027" max="3027" width="0.85546875" style="48" customWidth="1"/>
    <col min="3028" max="3028" width="14.7109375" style="48" customWidth="1"/>
    <col min="3029" max="3029" width="0.85546875" style="48" customWidth="1"/>
    <col min="3030" max="3030" width="7.7109375" style="48" customWidth="1"/>
    <col min="3031" max="3032" width="6.7109375" style="48" customWidth="1"/>
    <col min="3033" max="3033" width="8.28515625" style="48" customWidth="1"/>
    <col min="3034" max="3034" width="8.7109375" style="48" customWidth="1"/>
    <col min="3035" max="3269" width="11.42578125" style="48"/>
    <col min="3270" max="3270" width="3.42578125" style="48" customWidth="1"/>
    <col min="3271" max="3271" width="26.5703125" style="48" customWidth="1"/>
    <col min="3272" max="3272" width="0.85546875" style="48" customWidth="1"/>
    <col min="3273" max="3273" width="10.7109375" style="48" customWidth="1"/>
    <col min="3274" max="3274" width="0.85546875" style="48" customWidth="1"/>
    <col min="3275" max="3275" width="15.7109375" style="48" customWidth="1"/>
    <col min="3276" max="3276" width="19.5703125" style="48" customWidth="1"/>
    <col min="3277" max="3277" width="0.85546875" style="48" customWidth="1"/>
    <col min="3278" max="3279" width="14.7109375" style="48" customWidth="1"/>
    <col min="3280" max="3280" width="0.85546875" style="48" customWidth="1"/>
    <col min="3281" max="3282" width="14.7109375" style="48" customWidth="1"/>
    <col min="3283" max="3283" width="0.85546875" style="48" customWidth="1"/>
    <col min="3284" max="3284" width="14.7109375" style="48" customWidth="1"/>
    <col min="3285" max="3285" width="0.85546875" style="48" customWidth="1"/>
    <col min="3286" max="3286" width="7.7109375" style="48" customWidth="1"/>
    <col min="3287" max="3288" width="6.7109375" style="48" customWidth="1"/>
    <col min="3289" max="3289" width="8.28515625" style="48" customWidth="1"/>
    <col min="3290" max="3290" width="8.7109375" style="48" customWidth="1"/>
    <col min="3291" max="3525" width="11.42578125" style="48"/>
    <col min="3526" max="3526" width="3.42578125" style="48" customWidth="1"/>
    <col min="3527" max="3527" width="26.5703125" style="48" customWidth="1"/>
    <col min="3528" max="3528" width="0.85546875" style="48" customWidth="1"/>
    <col min="3529" max="3529" width="10.7109375" style="48" customWidth="1"/>
    <col min="3530" max="3530" width="0.85546875" style="48" customWidth="1"/>
    <col min="3531" max="3531" width="15.7109375" style="48" customWidth="1"/>
    <col min="3532" max="3532" width="19.5703125" style="48" customWidth="1"/>
    <col min="3533" max="3533" width="0.85546875" style="48" customWidth="1"/>
    <col min="3534" max="3535" width="14.7109375" style="48" customWidth="1"/>
    <col min="3536" max="3536" width="0.85546875" style="48" customWidth="1"/>
    <col min="3537" max="3538" width="14.7109375" style="48" customWidth="1"/>
    <col min="3539" max="3539" width="0.85546875" style="48" customWidth="1"/>
    <col min="3540" max="3540" width="14.7109375" style="48" customWidth="1"/>
    <col min="3541" max="3541" width="0.85546875" style="48" customWidth="1"/>
    <col min="3542" max="3542" width="7.7109375" style="48" customWidth="1"/>
    <col min="3543" max="3544" width="6.7109375" style="48" customWidth="1"/>
    <col min="3545" max="3545" width="8.28515625" style="48" customWidth="1"/>
    <col min="3546" max="3546" width="8.7109375" style="48" customWidth="1"/>
    <col min="3547" max="3781" width="11.42578125" style="48"/>
    <col min="3782" max="3782" width="3.42578125" style="48" customWidth="1"/>
    <col min="3783" max="3783" width="26.5703125" style="48" customWidth="1"/>
    <col min="3784" max="3784" width="0.85546875" style="48" customWidth="1"/>
    <col min="3785" max="3785" width="10.7109375" style="48" customWidth="1"/>
    <col min="3786" max="3786" width="0.85546875" style="48" customWidth="1"/>
    <col min="3787" max="3787" width="15.7109375" style="48" customWidth="1"/>
    <col min="3788" max="3788" width="19.5703125" style="48" customWidth="1"/>
    <col min="3789" max="3789" width="0.85546875" style="48" customWidth="1"/>
    <col min="3790" max="3791" width="14.7109375" style="48" customWidth="1"/>
    <col min="3792" max="3792" width="0.85546875" style="48" customWidth="1"/>
    <col min="3793" max="3794" width="14.7109375" style="48" customWidth="1"/>
    <col min="3795" max="3795" width="0.85546875" style="48" customWidth="1"/>
    <col min="3796" max="3796" width="14.7109375" style="48" customWidth="1"/>
    <col min="3797" max="3797" width="0.85546875" style="48" customWidth="1"/>
    <col min="3798" max="3798" width="7.7109375" style="48" customWidth="1"/>
    <col min="3799" max="3800" width="6.7109375" style="48" customWidth="1"/>
    <col min="3801" max="3801" width="8.28515625" style="48" customWidth="1"/>
    <col min="3802" max="3802" width="8.7109375" style="48" customWidth="1"/>
    <col min="3803" max="4037" width="11.42578125" style="48"/>
    <col min="4038" max="4038" width="3.42578125" style="48" customWidth="1"/>
    <col min="4039" max="4039" width="26.5703125" style="48" customWidth="1"/>
    <col min="4040" max="4040" width="0.85546875" style="48" customWidth="1"/>
    <col min="4041" max="4041" width="10.7109375" style="48" customWidth="1"/>
    <col min="4042" max="4042" width="0.85546875" style="48" customWidth="1"/>
    <col min="4043" max="4043" width="15.7109375" style="48" customWidth="1"/>
    <col min="4044" max="4044" width="19.5703125" style="48" customWidth="1"/>
    <col min="4045" max="4045" width="0.85546875" style="48" customWidth="1"/>
    <col min="4046" max="4047" width="14.7109375" style="48" customWidth="1"/>
    <col min="4048" max="4048" width="0.85546875" style="48" customWidth="1"/>
    <col min="4049" max="4050" width="14.7109375" style="48" customWidth="1"/>
    <col min="4051" max="4051" width="0.85546875" style="48" customWidth="1"/>
    <col min="4052" max="4052" width="14.7109375" style="48" customWidth="1"/>
    <col min="4053" max="4053" width="0.85546875" style="48" customWidth="1"/>
    <col min="4054" max="4054" width="7.7109375" style="48" customWidth="1"/>
    <col min="4055" max="4056" width="6.7109375" style="48" customWidth="1"/>
    <col min="4057" max="4057" width="8.28515625" style="48" customWidth="1"/>
    <col min="4058" max="4058" width="8.7109375" style="48" customWidth="1"/>
    <col min="4059" max="4293" width="11.42578125" style="48"/>
    <col min="4294" max="4294" width="3.42578125" style="48" customWidth="1"/>
    <col min="4295" max="4295" width="26.5703125" style="48" customWidth="1"/>
    <col min="4296" max="4296" width="0.85546875" style="48" customWidth="1"/>
    <col min="4297" max="4297" width="10.7109375" style="48" customWidth="1"/>
    <col min="4298" max="4298" width="0.85546875" style="48" customWidth="1"/>
    <col min="4299" max="4299" width="15.7109375" style="48" customWidth="1"/>
    <col min="4300" max="4300" width="19.5703125" style="48" customWidth="1"/>
    <col min="4301" max="4301" width="0.85546875" style="48" customWidth="1"/>
    <col min="4302" max="4303" width="14.7109375" style="48" customWidth="1"/>
    <col min="4304" max="4304" width="0.85546875" style="48" customWidth="1"/>
    <col min="4305" max="4306" width="14.7109375" style="48" customWidth="1"/>
    <col min="4307" max="4307" width="0.85546875" style="48" customWidth="1"/>
    <col min="4308" max="4308" width="14.7109375" style="48" customWidth="1"/>
    <col min="4309" max="4309" width="0.85546875" style="48" customWidth="1"/>
    <col min="4310" max="4310" width="7.7109375" style="48" customWidth="1"/>
    <col min="4311" max="4312" width="6.7109375" style="48" customWidth="1"/>
    <col min="4313" max="4313" width="8.28515625" style="48" customWidth="1"/>
    <col min="4314" max="4314" width="8.7109375" style="48" customWidth="1"/>
    <col min="4315" max="4549" width="11.42578125" style="48"/>
    <col min="4550" max="4550" width="3.42578125" style="48" customWidth="1"/>
    <col min="4551" max="4551" width="26.5703125" style="48" customWidth="1"/>
    <col min="4552" max="4552" width="0.85546875" style="48" customWidth="1"/>
    <col min="4553" max="4553" width="10.7109375" style="48" customWidth="1"/>
    <col min="4554" max="4554" width="0.85546875" style="48" customWidth="1"/>
    <col min="4555" max="4555" width="15.7109375" style="48" customWidth="1"/>
    <col min="4556" max="4556" width="19.5703125" style="48" customWidth="1"/>
    <col min="4557" max="4557" width="0.85546875" style="48" customWidth="1"/>
    <col min="4558" max="4559" width="14.7109375" style="48" customWidth="1"/>
    <col min="4560" max="4560" width="0.85546875" style="48" customWidth="1"/>
    <col min="4561" max="4562" width="14.7109375" style="48" customWidth="1"/>
    <col min="4563" max="4563" width="0.85546875" style="48" customWidth="1"/>
    <col min="4564" max="4564" width="14.7109375" style="48" customWidth="1"/>
    <col min="4565" max="4565" width="0.85546875" style="48" customWidth="1"/>
    <col min="4566" max="4566" width="7.7109375" style="48" customWidth="1"/>
    <col min="4567" max="4568" width="6.7109375" style="48" customWidth="1"/>
    <col min="4569" max="4569" width="8.28515625" style="48" customWidth="1"/>
    <col min="4570" max="4570" width="8.7109375" style="48" customWidth="1"/>
    <col min="4571" max="4805" width="11.42578125" style="48"/>
    <col min="4806" max="4806" width="3.42578125" style="48" customWidth="1"/>
    <col min="4807" max="4807" width="26.5703125" style="48" customWidth="1"/>
    <col min="4808" max="4808" width="0.85546875" style="48" customWidth="1"/>
    <col min="4809" max="4809" width="10.7109375" style="48" customWidth="1"/>
    <col min="4810" max="4810" width="0.85546875" style="48" customWidth="1"/>
    <col min="4811" max="4811" width="15.7109375" style="48" customWidth="1"/>
    <col min="4812" max="4812" width="19.5703125" style="48" customWidth="1"/>
    <col min="4813" max="4813" width="0.85546875" style="48" customWidth="1"/>
    <col min="4814" max="4815" width="14.7109375" style="48" customWidth="1"/>
    <col min="4816" max="4816" width="0.85546875" style="48" customWidth="1"/>
    <col min="4817" max="4818" width="14.7109375" style="48" customWidth="1"/>
    <col min="4819" max="4819" width="0.85546875" style="48" customWidth="1"/>
    <col min="4820" max="4820" width="14.7109375" style="48" customWidth="1"/>
    <col min="4821" max="4821" width="0.85546875" style="48" customWidth="1"/>
    <col min="4822" max="4822" width="7.7109375" style="48" customWidth="1"/>
    <col min="4823" max="4824" width="6.7109375" style="48" customWidth="1"/>
    <col min="4825" max="4825" width="8.28515625" style="48" customWidth="1"/>
    <col min="4826" max="4826" width="8.7109375" style="48" customWidth="1"/>
    <col min="4827" max="5061" width="11.42578125" style="48"/>
    <col min="5062" max="5062" width="3.42578125" style="48" customWidth="1"/>
    <col min="5063" max="5063" width="26.5703125" style="48" customWidth="1"/>
    <col min="5064" max="5064" width="0.85546875" style="48" customWidth="1"/>
    <col min="5065" max="5065" width="10.7109375" style="48" customWidth="1"/>
    <col min="5066" max="5066" width="0.85546875" style="48" customWidth="1"/>
    <col min="5067" max="5067" width="15.7109375" style="48" customWidth="1"/>
    <col min="5068" max="5068" width="19.5703125" style="48" customWidth="1"/>
    <col min="5069" max="5069" width="0.85546875" style="48" customWidth="1"/>
    <col min="5070" max="5071" width="14.7109375" style="48" customWidth="1"/>
    <col min="5072" max="5072" width="0.85546875" style="48" customWidth="1"/>
    <col min="5073" max="5074" width="14.7109375" style="48" customWidth="1"/>
    <col min="5075" max="5075" width="0.85546875" style="48" customWidth="1"/>
    <col min="5076" max="5076" width="14.7109375" style="48" customWidth="1"/>
    <col min="5077" max="5077" width="0.85546875" style="48" customWidth="1"/>
    <col min="5078" max="5078" width="7.7109375" style="48" customWidth="1"/>
    <col min="5079" max="5080" width="6.7109375" style="48" customWidth="1"/>
    <col min="5081" max="5081" width="8.28515625" style="48" customWidth="1"/>
    <col min="5082" max="5082" width="8.7109375" style="48" customWidth="1"/>
    <col min="5083" max="5317" width="11.42578125" style="48"/>
    <col min="5318" max="5318" width="3.42578125" style="48" customWidth="1"/>
    <col min="5319" max="5319" width="26.5703125" style="48" customWidth="1"/>
    <col min="5320" max="5320" width="0.85546875" style="48" customWidth="1"/>
    <col min="5321" max="5321" width="10.7109375" style="48" customWidth="1"/>
    <col min="5322" max="5322" width="0.85546875" style="48" customWidth="1"/>
    <col min="5323" max="5323" width="15.7109375" style="48" customWidth="1"/>
    <col min="5324" max="5324" width="19.5703125" style="48" customWidth="1"/>
    <col min="5325" max="5325" width="0.85546875" style="48" customWidth="1"/>
    <col min="5326" max="5327" width="14.7109375" style="48" customWidth="1"/>
    <col min="5328" max="5328" width="0.85546875" style="48" customWidth="1"/>
    <col min="5329" max="5330" width="14.7109375" style="48" customWidth="1"/>
    <col min="5331" max="5331" width="0.85546875" style="48" customWidth="1"/>
    <col min="5332" max="5332" width="14.7109375" style="48" customWidth="1"/>
    <col min="5333" max="5333" width="0.85546875" style="48" customWidth="1"/>
    <col min="5334" max="5334" width="7.7109375" style="48" customWidth="1"/>
    <col min="5335" max="5336" width="6.7109375" style="48" customWidth="1"/>
    <col min="5337" max="5337" width="8.28515625" style="48" customWidth="1"/>
    <col min="5338" max="5338" width="8.7109375" style="48" customWidth="1"/>
    <col min="5339" max="5573" width="11.42578125" style="48"/>
    <col min="5574" max="5574" width="3.42578125" style="48" customWidth="1"/>
    <col min="5575" max="5575" width="26.5703125" style="48" customWidth="1"/>
    <col min="5576" max="5576" width="0.85546875" style="48" customWidth="1"/>
    <col min="5577" max="5577" width="10.7109375" style="48" customWidth="1"/>
    <col min="5578" max="5578" width="0.85546875" style="48" customWidth="1"/>
    <col min="5579" max="5579" width="15.7109375" style="48" customWidth="1"/>
    <col min="5580" max="5580" width="19.5703125" style="48" customWidth="1"/>
    <col min="5581" max="5581" width="0.85546875" style="48" customWidth="1"/>
    <col min="5582" max="5583" width="14.7109375" style="48" customWidth="1"/>
    <col min="5584" max="5584" width="0.85546875" style="48" customWidth="1"/>
    <col min="5585" max="5586" width="14.7109375" style="48" customWidth="1"/>
    <col min="5587" max="5587" width="0.85546875" style="48" customWidth="1"/>
    <col min="5588" max="5588" width="14.7109375" style="48" customWidth="1"/>
    <col min="5589" max="5589" width="0.85546875" style="48" customWidth="1"/>
    <col min="5590" max="5590" width="7.7109375" style="48" customWidth="1"/>
    <col min="5591" max="5592" width="6.7109375" style="48" customWidth="1"/>
    <col min="5593" max="5593" width="8.28515625" style="48" customWidth="1"/>
    <col min="5594" max="5594" width="8.7109375" style="48" customWidth="1"/>
    <col min="5595" max="5829" width="11.42578125" style="48"/>
    <col min="5830" max="5830" width="3.42578125" style="48" customWidth="1"/>
    <col min="5831" max="5831" width="26.5703125" style="48" customWidth="1"/>
    <col min="5832" max="5832" width="0.85546875" style="48" customWidth="1"/>
    <col min="5833" max="5833" width="10.7109375" style="48" customWidth="1"/>
    <col min="5834" max="5834" width="0.85546875" style="48" customWidth="1"/>
    <col min="5835" max="5835" width="15.7109375" style="48" customWidth="1"/>
    <col min="5836" max="5836" width="19.5703125" style="48" customWidth="1"/>
    <col min="5837" max="5837" width="0.85546875" style="48" customWidth="1"/>
    <col min="5838" max="5839" width="14.7109375" style="48" customWidth="1"/>
    <col min="5840" max="5840" width="0.85546875" style="48" customWidth="1"/>
    <col min="5841" max="5842" width="14.7109375" style="48" customWidth="1"/>
    <col min="5843" max="5843" width="0.85546875" style="48" customWidth="1"/>
    <col min="5844" max="5844" width="14.7109375" style="48" customWidth="1"/>
    <col min="5845" max="5845" width="0.85546875" style="48" customWidth="1"/>
    <col min="5846" max="5846" width="7.7109375" style="48" customWidth="1"/>
    <col min="5847" max="5848" width="6.7109375" style="48" customWidth="1"/>
    <col min="5849" max="5849" width="8.28515625" style="48" customWidth="1"/>
    <col min="5850" max="5850" width="8.7109375" style="48" customWidth="1"/>
    <col min="5851" max="6085" width="11.42578125" style="48"/>
    <col min="6086" max="6086" width="3.42578125" style="48" customWidth="1"/>
    <col min="6087" max="6087" width="26.5703125" style="48" customWidth="1"/>
    <col min="6088" max="6088" width="0.85546875" style="48" customWidth="1"/>
    <col min="6089" max="6089" width="10.7109375" style="48" customWidth="1"/>
    <col min="6090" max="6090" width="0.85546875" style="48" customWidth="1"/>
    <col min="6091" max="6091" width="15.7109375" style="48" customWidth="1"/>
    <col min="6092" max="6092" width="19.5703125" style="48" customWidth="1"/>
    <col min="6093" max="6093" width="0.85546875" style="48" customWidth="1"/>
    <col min="6094" max="6095" width="14.7109375" style="48" customWidth="1"/>
    <col min="6096" max="6096" width="0.85546875" style="48" customWidth="1"/>
    <col min="6097" max="6098" width="14.7109375" style="48" customWidth="1"/>
    <col min="6099" max="6099" width="0.85546875" style="48" customWidth="1"/>
    <col min="6100" max="6100" width="14.7109375" style="48" customWidth="1"/>
    <col min="6101" max="6101" width="0.85546875" style="48" customWidth="1"/>
    <col min="6102" max="6102" width="7.7109375" style="48" customWidth="1"/>
    <col min="6103" max="6104" width="6.7109375" style="48" customWidth="1"/>
    <col min="6105" max="6105" width="8.28515625" style="48" customWidth="1"/>
    <col min="6106" max="6106" width="8.7109375" style="48" customWidth="1"/>
    <col min="6107" max="6341" width="11.42578125" style="48"/>
    <col min="6342" max="6342" width="3.42578125" style="48" customWidth="1"/>
    <col min="6343" max="6343" width="26.5703125" style="48" customWidth="1"/>
    <col min="6344" max="6344" width="0.85546875" style="48" customWidth="1"/>
    <col min="6345" max="6345" width="10.7109375" style="48" customWidth="1"/>
    <col min="6346" max="6346" width="0.85546875" style="48" customWidth="1"/>
    <col min="6347" max="6347" width="15.7109375" style="48" customWidth="1"/>
    <col min="6348" max="6348" width="19.5703125" style="48" customWidth="1"/>
    <col min="6349" max="6349" width="0.85546875" style="48" customWidth="1"/>
    <col min="6350" max="6351" width="14.7109375" style="48" customWidth="1"/>
    <col min="6352" max="6352" width="0.85546875" style="48" customWidth="1"/>
    <col min="6353" max="6354" width="14.7109375" style="48" customWidth="1"/>
    <col min="6355" max="6355" width="0.85546875" style="48" customWidth="1"/>
    <col min="6356" max="6356" width="14.7109375" style="48" customWidth="1"/>
    <col min="6357" max="6357" width="0.85546875" style="48" customWidth="1"/>
    <col min="6358" max="6358" width="7.7109375" style="48" customWidth="1"/>
    <col min="6359" max="6360" width="6.7109375" style="48" customWidth="1"/>
    <col min="6361" max="6361" width="8.28515625" style="48" customWidth="1"/>
    <col min="6362" max="6362" width="8.7109375" style="48" customWidth="1"/>
    <col min="6363" max="6597" width="11.42578125" style="48"/>
    <col min="6598" max="6598" width="3.42578125" style="48" customWidth="1"/>
    <col min="6599" max="6599" width="26.5703125" style="48" customWidth="1"/>
    <col min="6600" max="6600" width="0.85546875" style="48" customWidth="1"/>
    <col min="6601" max="6601" width="10.7109375" style="48" customWidth="1"/>
    <col min="6602" max="6602" width="0.85546875" style="48" customWidth="1"/>
    <col min="6603" max="6603" width="15.7109375" style="48" customWidth="1"/>
    <col min="6604" max="6604" width="19.5703125" style="48" customWidth="1"/>
    <col min="6605" max="6605" width="0.85546875" style="48" customWidth="1"/>
    <col min="6606" max="6607" width="14.7109375" style="48" customWidth="1"/>
    <col min="6608" max="6608" width="0.85546875" style="48" customWidth="1"/>
    <col min="6609" max="6610" width="14.7109375" style="48" customWidth="1"/>
    <col min="6611" max="6611" width="0.85546875" style="48" customWidth="1"/>
    <col min="6612" max="6612" width="14.7109375" style="48" customWidth="1"/>
    <col min="6613" max="6613" width="0.85546875" style="48" customWidth="1"/>
    <col min="6614" max="6614" width="7.7109375" style="48" customWidth="1"/>
    <col min="6615" max="6616" width="6.7109375" style="48" customWidth="1"/>
    <col min="6617" max="6617" width="8.28515625" style="48" customWidth="1"/>
    <col min="6618" max="6618" width="8.7109375" style="48" customWidth="1"/>
    <col min="6619" max="6853" width="11.42578125" style="48"/>
    <col min="6854" max="6854" width="3.42578125" style="48" customWidth="1"/>
    <col min="6855" max="6855" width="26.5703125" style="48" customWidth="1"/>
    <col min="6856" max="6856" width="0.85546875" style="48" customWidth="1"/>
    <col min="6857" max="6857" width="10.7109375" style="48" customWidth="1"/>
    <col min="6858" max="6858" width="0.85546875" style="48" customWidth="1"/>
    <col min="6859" max="6859" width="15.7109375" style="48" customWidth="1"/>
    <col min="6860" max="6860" width="19.5703125" style="48" customWidth="1"/>
    <col min="6861" max="6861" width="0.85546875" style="48" customWidth="1"/>
    <col min="6862" max="6863" width="14.7109375" style="48" customWidth="1"/>
    <col min="6864" max="6864" width="0.85546875" style="48" customWidth="1"/>
    <col min="6865" max="6866" width="14.7109375" style="48" customWidth="1"/>
    <col min="6867" max="6867" width="0.85546875" style="48" customWidth="1"/>
    <col min="6868" max="6868" width="14.7109375" style="48" customWidth="1"/>
    <col min="6869" max="6869" width="0.85546875" style="48" customWidth="1"/>
    <col min="6870" max="6870" width="7.7109375" style="48" customWidth="1"/>
    <col min="6871" max="6872" width="6.7109375" style="48" customWidth="1"/>
    <col min="6873" max="6873" width="8.28515625" style="48" customWidth="1"/>
    <col min="6874" max="6874" width="8.7109375" style="48" customWidth="1"/>
    <col min="6875" max="7109" width="11.42578125" style="48"/>
    <col min="7110" max="7110" width="3.42578125" style="48" customWidth="1"/>
    <col min="7111" max="7111" width="26.5703125" style="48" customWidth="1"/>
    <col min="7112" max="7112" width="0.85546875" style="48" customWidth="1"/>
    <col min="7113" max="7113" width="10.7109375" style="48" customWidth="1"/>
    <col min="7114" max="7114" width="0.85546875" style="48" customWidth="1"/>
    <col min="7115" max="7115" width="15.7109375" style="48" customWidth="1"/>
    <col min="7116" max="7116" width="19.5703125" style="48" customWidth="1"/>
    <col min="7117" max="7117" width="0.85546875" style="48" customWidth="1"/>
    <col min="7118" max="7119" width="14.7109375" style="48" customWidth="1"/>
    <col min="7120" max="7120" width="0.85546875" style="48" customWidth="1"/>
    <col min="7121" max="7122" width="14.7109375" style="48" customWidth="1"/>
    <col min="7123" max="7123" width="0.85546875" style="48" customWidth="1"/>
    <col min="7124" max="7124" width="14.7109375" style="48" customWidth="1"/>
    <col min="7125" max="7125" width="0.85546875" style="48" customWidth="1"/>
    <col min="7126" max="7126" width="7.7109375" style="48" customWidth="1"/>
    <col min="7127" max="7128" width="6.7109375" style="48" customWidth="1"/>
    <col min="7129" max="7129" width="8.28515625" style="48" customWidth="1"/>
    <col min="7130" max="7130" width="8.7109375" style="48" customWidth="1"/>
    <col min="7131" max="7365" width="11.42578125" style="48"/>
    <col min="7366" max="7366" width="3.42578125" style="48" customWidth="1"/>
    <col min="7367" max="7367" width="26.5703125" style="48" customWidth="1"/>
    <col min="7368" max="7368" width="0.85546875" style="48" customWidth="1"/>
    <col min="7369" max="7369" width="10.7109375" style="48" customWidth="1"/>
    <col min="7370" max="7370" width="0.85546875" style="48" customWidth="1"/>
    <col min="7371" max="7371" width="15.7109375" style="48" customWidth="1"/>
    <col min="7372" max="7372" width="19.5703125" style="48" customWidth="1"/>
    <col min="7373" max="7373" width="0.85546875" style="48" customWidth="1"/>
    <col min="7374" max="7375" width="14.7109375" style="48" customWidth="1"/>
    <col min="7376" max="7376" width="0.85546875" style="48" customWidth="1"/>
    <col min="7377" max="7378" width="14.7109375" style="48" customWidth="1"/>
    <col min="7379" max="7379" width="0.85546875" style="48" customWidth="1"/>
    <col min="7380" max="7380" width="14.7109375" style="48" customWidth="1"/>
    <col min="7381" max="7381" width="0.85546875" style="48" customWidth="1"/>
    <col min="7382" max="7382" width="7.7109375" style="48" customWidth="1"/>
    <col min="7383" max="7384" width="6.7109375" style="48" customWidth="1"/>
    <col min="7385" max="7385" width="8.28515625" style="48" customWidth="1"/>
    <col min="7386" max="7386" width="8.7109375" style="48" customWidth="1"/>
    <col min="7387" max="7621" width="11.42578125" style="48"/>
    <col min="7622" max="7622" width="3.42578125" style="48" customWidth="1"/>
    <col min="7623" max="7623" width="26.5703125" style="48" customWidth="1"/>
    <col min="7624" max="7624" width="0.85546875" style="48" customWidth="1"/>
    <col min="7625" max="7625" width="10.7109375" style="48" customWidth="1"/>
    <col min="7626" max="7626" width="0.85546875" style="48" customWidth="1"/>
    <col min="7627" max="7627" width="15.7109375" style="48" customWidth="1"/>
    <col min="7628" max="7628" width="19.5703125" style="48" customWidth="1"/>
    <col min="7629" max="7629" width="0.85546875" style="48" customWidth="1"/>
    <col min="7630" max="7631" width="14.7109375" style="48" customWidth="1"/>
    <col min="7632" max="7632" width="0.85546875" style="48" customWidth="1"/>
    <col min="7633" max="7634" width="14.7109375" style="48" customWidth="1"/>
    <col min="7635" max="7635" width="0.85546875" style="48" customWidth="1"/>
    <col min="7636" max="7636" width="14.7109375" style="48" customWidth="1"/>
    <col min="7637" max="7637" width="0.85546875" style="48" customWidth="1"/>
    <col min="7638" max="7638" width="7.7109375" style="48" customWidth="1"/>
    <col min="7639" max="7640" width="6.7109375" style="48" customWidth="1"/>
    <col min="7641" max="7641" width="8.28515625" style="48" customWidth="1"/>
    <col min="7642" max="7642" width="8.7109375" style="48" customWidth="1"/>
    <col min="7643" max="7877" width="11.42578125" style="48"/>
    <col min="7878" max="7878" width="3.42578125" style="48" customWidth="1"/>
    <col min="7879" max="7879" width="26.5703125" style="48" customWidth="1"/>
    <col min="7880" max="7880" width="0.85546875" style="48" customWidth="1"/>
    <col min="7881" max="7881" width="10.7109375" style="48" customWidth="1"/>
    <col min="7882" max="7882" width="0.85546875" style="48" customWidth="1"/>
    <col min="7883" max="7883" width="15.7109375" style="48" customWidth="1"/>
    <col min="7884" max="7884" width="19.5703125" style="48" customWidth="1"/>
    <col min="7885" max="7885" width="0.85546875" style="48" customWidth="1"/>
    <col min="7886" max="7887" width="14.7109375" style="48" customWidth="1"/>
    <col min="7888" max="7888" width="0.85546875" style="48" customWidth="1"/>
    <col min="7889" max="7890" width="14.7109375" style="48" customWidth="1"/>
    <col min="7891" max="7891" width="0.85546875" style="48" customWidth="1"/>
    <col min="7892" max="7892" width="14.7109375" style="48" customWidth="1"/>
    <col min="7893" max="7893" width="0.85546875" style="48" customWidth="1"/>
    <col min="7894" max="7894" width="7.7109375" style="48" customWidth="1"/>
    <col min="7895" max="7896" width="6.7109375" style="48" customWidth="1"/>
    <col min="7897" max="7897" width="8.28515625" style="48" customWidth="1"/>
    <col min="7898" max="7898" width="8.7109375" style="48" customWidth="1"/>
    <col min="7899" max="8133" width="11.42578125" style="48"/>
    <col min="8134" max="8134" width="3.42578125" style="48" customWidth="1"/>
    <col min="8135" max="8135" width="26.5703125" style="48" customWidth="1"/>
    <col min="8136" max="8136" width="0.85546875" style="48" customWidth="1"/>
    <col min="8137" max="8137" width="10.7109375" style="48" customWidth="1"/>
    <col min="8138" max="8138" width="0.85546875" style="48" customWidth="1"/>
    <col min="8139" max="8139" width="15.7109375" style="48" customWidth="1"/>
    <col min="8140" max="8140" width="19.5703125" style="48" customWidth="1"/>
    <col min="8141" max="8141" width="0.85546875" style="48" customWidth="1"/>
    <col min="8142" max="8143" width="14.7109375" style="48" customWidth="1"/>
    <col min="8144" max="8144" width="0.85546875" style="48" customWidth="1"/>
    <col min="8145" max="8146" width="14.7109375" style="48" customWidth="1"/>
    <col min="8147" max="8147" width="0.85546875" style="48" customWidth="1"/>
    <col min="8148" max="8148" width="14.7109375" style="48" customWidth="1"/>
    <col min="8149" max="8149" width="0.85546875" style="48" customWidth="1"/>
    <col min="8150" max="8150" width="7.7109375" style="48" customWidth="1"/>
    <col min="8151" max="8152" width="6.7109375" style="48" customWidth="1"/>
    <col min="8153" max="8153" width="8.28515625" style="48" customWidth="1"/>
    <col min="8154" max="8154" width="8.7109375" style="48" customWidth="1"/>
    <col min="8155" max="8389" width="11.42578125" style="48"/>
    <col min="8390" max="8390" width="3.42578125" style="48" customWidth="1"/>
    <col min="8391" max="8391" width="26.5703125" style="48" customWidth="1"/>
    <col min="8392" max="8392" width="0.85546875" style="48" customWidth="1"/>
    <col min="8393" max="8393" width="10.7109375" style="48" customWidth="1"/>
    <col min="8394" max="8394" width="0.85546875" style="48" customWidth="1"/>
    <col min="8395" max="8395" width="15.7109375" style="48" customWidth="1"/>
    <col min="8396" max="8396" width="19.5703125" style="48" customWidth="1"/>
    <col min="8397" max="8397" width="0.85546875" style="48" customWidth="1"/>
    <col min="8398" max="8399" width="14.7109375" style="48" customWidth="1"/>
    <col min="8400" max="8400" width="0.85546875" style="48" customWidth="1"/>
    <col min="8401" max="8402" width="14.7109375" style="48" customWidth="1"/>
    <col min="8403" max="8403" width="0.85546875" style="48" customWidth="1"/>
    <col min="8404" max="8404" width="14.7109375" style="48" customWidth="1"/>
    <col min="8405" max="8405" width="0.85546875" style="48" customWidth="1"/>
    <col min="8406" max="8406" width="7.7109375" style="48" customWidth="1"/>
    <col min="8407" max="8408" width="6.7109375" style="48" customWidth="1"/>
    <col min="8409" max="8409" width="8.28515625" style="48" customWidth="1"/>
    <col min="8410" max="8410" width="8.7109375" style="48" customWidth="1"/>
    <col min="8411" max="8645" width="11.42578125" style="48"/>
    <col min="8646" max="8646" width="3.42578125" style="48" customWidth="1"/>
    <col min="8647" max="8647" width="26.5703125" style="48" customWidth="1"/>
    <col min="8648" max="8648" width="0.85546875" style="48" customWidth="1"/>
    <col min="8649" max="8649" width="10.7109375" style="48" customWidth="1"/>
    <col min="8650" max="8650" width="0.85546875" style="48" customWidth="1"/>
    <col min="8651" max="8651" width="15.7109375" style="48" customWidth="1"/>
    <col min="8652" max="8652" width="19.5703125" style="48" customWidth="1"/>
    <col min="8653" max="8653" width="0.85546875" style="48" customWidth="1"/>
    <col min="8654" max="8655" width="14.7109375" style="48" customWidth="1"/>
    <col min="8656" max="8656" width="0.85546875" style="48" customWidth="1"/>
    <col min="8657" max="8658" width="14.7109375" style="48" customWidth="1"/>
    <col min="8659" max="8659" width="0.85546875" style="48" customWidth="1"/>
    <col min="8660" max="8660" width="14.7109375" style="48" customWidth="1"/>
    <col min="8661" max="8661" width="0.85546875" style="48" customWidth="1"/>
    <col min="8662" max="8662" width="7.7109375" style="48" customWidth="1"/>
    <col min="8663" max="8664" width="6.7109375" style="48" customWidth="1"/>
    <col min="8665" max="8665" width="8.28515625" style="48" customWidth="1"/>
    <col min="8666" max="8666" width="8.7109375" style="48" customWidth="1"/>
    <col min="8667" max="8901" width="11.42578125" style="48"/>
    <col min="8902" max="8902" width="3.42578125" style="48" customWidth="1"/>
    <col min="8903" max="8903" width="26.5703125" style="48" customWidth="1"/>
    <col min="8904" max="8904" width="0.85546875" style="48" customWidth="1"/>
    <col min="8905" max="8905" width="10.7109375" style="48" customWidth="1"/>
    <col min="8906" max="8906" width="0.85546875" style="48" customWidth="1"/>
    <col min="8907" max="8907" width="15.7109375" style="48" customWidth="1"/>
    <col min="8908" max="8908" width="19.5703125" style="48" customWidth="1"/>
    <col min="8909" max="8909" width="0.85546875" style="48" customWidth="1"/>
    <col min="8910" max="8911" width="14.7109375" style="48" customWidth="1"/>
    <col min="8912" max="8912" width="0.85546875" style="48" customWidth="1"/>
    <col min="8913" max="8914" width="14.7109375" style="48" customWidth="1"/>
    <col min="8915" max="8915" width="0.85546875" style="48" customWidth="1"/>
    <col min="8916" max="8916" width="14.7109375" style="48" customWidth="1"/>
    <col min="8917" max="8917" width="0.85546875" style="48" customWidth="1"/>
    <col min="8918" max="8918" width="7.7109375" style="48" customWidth="1"/>
    <col min="8919" max="8920" width="6.7109375" style="48" customWidth="1"/>
    <col min="8921" max="8921" width="8.28515625" style="48" customWidth="1"/>
    <col min="8922" max="8922" width="8.7109375" style="48" customWidth="1"/>
    <col min="8923" max="9157" width="11.42578125" style="48"/>
    <col min="9158" max="9158" width="3.42578125" style="48" customWidth="1"/>
    <col min="9159" max="9159" width="26.5703125" style="48" customWidth="1"/>
    <col min="9160" max="9160" width="0.85546875" style="48" customWidth="1"/>
    <col min="9161" max="9161" width="10.7109375" style="48" customWidth="1"/>
    <col min="9162" max="9162" width="0.85546875" style="48" customWidth="1"/>
    <col min="9163" max="9163" width="15.7109375" style="48" customWidth="1"/>
    <col min="9164" max="9164" width="19.5703125" style="48" customWidth="1"/>
    <col min="9165" max="9165" width="0.85546875" style="48" customWidth="1"/>
    <col min="9166" max="9167" width="14.7109375" style="48" customWidth="1"/>
    <col min="9168" max="9168" width="0.85546875" style="48" customWidth="1"/>
    <col min="9169" max="9170" width="14.7109375" style="48" customWidth="1"/>
    <col min="9171" max="9171" width="0.85546875" style="48" customWidth="1"/>
    <col min="9172" max="9172" width="14.7109375" style="48" customWidth="1"/>
    <col min="9173" max="9173" width="0.85546875" style="48" customWidth="1"/>
    <col min="9174" max="9174" width="7.7109375" style="48" customWidth="1"/>
    <col min="9175" max="9176" width="6.7109375" style="48" customWidth="1"/>
    <col min="9177" max="9177" width="8.28515625" style="48" customWidth="1"/>
    <col min="9178" max="9178" width="8.7109375" style="48" customWidth="1"/>
    <col min="9179" max="9413" width="11.42578125" style="48"/>
    <col min="9414" max="9414" width="3.42578125" style="48" customWidth="1"/>
    <col min="9415" max="9415" width="26.5703125" style="48" customWidth="1"/>
    <col min="9416" max="9416" width="0.85546875" style="48" customWidth="1"/>
    <col min="9417" max="9417" width="10.7109375" style="48" customWidth="1"/>
    <col min="9418" max="9418" width="0.85546875" style="48" customWidth="1"/>
    <col min="9419" max="9419" width="15.7109375" style="48" customWidth="1"/>
    <col min="9420" max="9420" width="19.5703125" style="48" customWidth="1"/>
    <col min="9421" max="9421" width="0.85546875" style="48" customWidth="1"/>
    <col min="9422" max="9423" width="14.7109375" style="48" customWidth="1"/>
    <col min="9424" max="9424" width="0.85546875" style="48" customWidth="1"/>
    <col min="9425" max="9426" width="14.7109375" style="48" customWidth="1"/>
    <col min="9427" max="9427" width="0.85546875" style="48" customWidth="1"/>
    <col min="9428" max="9428" width="14.7109375" style="48" customWidth="1"/>
    <col min="9429" max="9429" width="0.85546875" style="48" customWidth="1"/>
    <col min="9430" max="9430" width="7.7109375" style="48" customWidth="1"/>
    <col min="9431" max="9432" width="6.7109375" style="48" customWidth="1"/>
    <col min="9433" max="9433" width="8.28515625" style="48" customWidth="1"/>
    <col min="9434" max="9434" width="8.7109375" style="48" customWidth="1"/>
    <col min="9435" max="9669" width="11.42578125" style="48"/>
    <col min="9670" max="9670" width="3.42578125" style="48" customWidth="1"/>
    <col min="9671" max="9671" width="26.5703125" style="48" customWidth="1"/>
    <col min="9672" max="9672" width="0.85546875" style="48" customWidth="1"/>
    <col min="9673" max="9673" width="10.7109375" style="48" customWidth="1"/>
    <col min="9674" max="9674" width="0.85546875" style="48" customWidth="1"/>
    <col min="9675" max="9675" width="15.7109375" style="48" customWidth="1"/>
    <col min="9676" max="9676" width="19.5703125" style="48" customWidth="1"/>
    <col min="9677" max="9677" width="0.85546875" style="48" customWidth="1"/>
    <col min="9678" max="9679" width="14.7109375" style="48" customWidth="1"/>
    <col min="9680" max="9680" width="0.85546875" style="48" customWidth="1"/>
    <col min="9681" max="9682" width="14.7109375" style="48" customWidth="1"/>
    <col min="9683" max="9683" width="0.85546875" style="48" customWidth="1"/>
    <col min="9684" max="9684" width="14.7109375" style="48" customWidth="1"/>
    <col min="9685" max="9685" width="0.85546875" style="48" customWidth="1"/>
    <col min="9686" max="9686" width="7.7109375" style="48" customWidth="1"/>
    <col min="9687" max="9688" width="6.7109375" style="48" customWidth="1"/>
    <col min="9689" max="9689" width="8.28515625" style="48" customWidth="1"/>
    <col min="9690" max="9690" width="8.7109375" style="48" customWidth="1"/>
    <col min="9691" max="9925" width="11.42578125" style="48"/>
    <col min="9926" max="9926" width="3.42578125" style="48" customWidth="1"/>
    <col min="9927" max="9927" width="26.5703125" style="48" customWidth="1"/>
    <col min="9928" max="9928" width="0.85546875" style="48" customWidth="1"/>
    <col min="9929" max="9929" width="10.7109375" style="48" customWidth="1"/>
    <col min="9930" max="9930" width="0.85546875" style="48" customWidth="1"/>
    <col min="9931" max="9931" width="15.7109375" style="48" customWidth="1"/>
    <col min="9932" max="9932" width="19.5703125" style="48" customWidth="1"/>
    <col min="9933" max="9933" width="0.85546875" style="48" customWidth="1"/>
    <col min="9934" max="9935" width="14.7109375" style="48" customWidth="1"/>
    <col min="9936" max="9936" width="0.85546875" style="48" customWidth="1"/>
    <col min="9937" max="9938" width="14.7109375" style="48" customWidth="1"/>
    <col min="9939" max="9939" width="0.85546875" style="48" customWidth="1"/>
    <col min="9940" max="9940" width="14.7109375" style="48" customWidth="1"/>
    <col min="9941" max="9941" width="0.85546875" style="48" customWidth="1"/>
    <col min="9942" max="9942" width="7.7109375" style="48" customWidth="1"/>
    <col min="9943" max="9944" width="6.7109375" style="48" customWidth="1"/>
    <col min="9945" max="9945" width="8.28515625" style="48" customWidth="1"/>
    <col min="9946" max="9946" width="8.7109375" style="48" customWidth="1"/>
    <col min="9947" max="10181" width="11.42578125" style="48"/>
    <col min="10182" max="10182" width="3.42578125" style="48" customWidth="1"/>
    <col min="10183" max="10183" width="26.5703125" style="48" customWidth="1"/>
    <col min="10184" max="10184" width="0.85546875" style="48" customWidth="1"/>
    <col min="10185" max="10185" width="10.7109375" style="48" customWidth="1"/>
    <col min="10186" max="10186" width="0.85546875" style="48" customWidth="1"/>
    <col min="10187" max="10187" width="15.7109375" style="48" customWidth="1"/>
    <col min="10188" max="10188" width="19.5703125" style="48" customWidth="1"/>
    <col min="10189" max="10189" width="0.85546875" style="48" customWidth="1"/>
    <col min="10190" max="10191" width="14.7109375" style="48" customWidth="1"/>
    <col min="10192" max="10192" width="0.85546875" style="48" customWidth="1"/>
    <col min="10193" max="10194" width="14.7109375" style="48" customWidth="1"/>
    <col min="10195" max="10195" width="0.85546875" style="48" customWidth="1"/>
    <col min="10196" max="10196" width="14.7109375" style="48" customWidth="1"/>
    <col min="10197" max="10197" width="0.85546875" style="48" customWidth="1"/>
    <col min="10198" max="10198" width="7.7109375" style="48" customWidth="1"/>
    <col min="10199" max="10200" width="6.7109375" style="48" customWidth="1"/>
    <col min="10201" max="10201" width="8.28515625" style="48" customWidth="1"/>
    <col min="10202" max="10202" width="8.7109375" style="48" customWidth="1"/>
    <col min="10203" max="10437" width="11.42578125" style="48"/>
    <col min="10438" max="10438" width="3.42578125" style="48" customWidth="1"/>
    <col min="10439" max="10439" width="26.5703125" style="48" customWidth="1"/>
    <col min="10440" max="10440" width="0.85546875" style="48" customWidth="1"/>
    <col min="10441" max="10441" width="10.7109375" style="48" customWidth="1"/>
    <col min="10442" max="10442" width="0.85546875" style="48" customWidth="1"/>
    <col min="10443" max="10443" width="15.7109375" style="48" customWidth="1"/>
    <col min="10444" max="10444" width="19.5703125" style="48" customWidth="1"/>
    <col min="10445" max="10445" width="0.85546875" style="48" customWidth="1"/>
    <col min="10446" max="10447" width="14.7109375" style="48" customWidth="1"/>
    <col min="10448" max="10448" width="0.85546875" style="48" customWidth="1"/>
    <col min="10449" max="10450" width="14.7109375" style="48" customWidth="1"/>
    <col min="10451" max="10451" width="0.85546875" style="48" customWidth="1"/>
    <col min="10452" max="10452" width="14.7109375" style="48" customWidth="1"/>
    <col min="10453" max="10453" width="0.85546875" style="48" customWidth="1"/>
    <col min="10454" max="10454" width="7.7109375" style="48" customWidth="1"/>
    <col min="10455" max="10456" width="6.7109375" style="48" customWidth="1"/>
    <col min="10457" max="10457" width="8.28515625" style="48" customWidth="1"/>
    <col min="10458" max="10458" width="8.7109375" style="48" customWidth="1"/>
    <col min="10459" max="10693" width="11.42578125" style="48"/>
    <col min="10694" max="10694" width="3.42578125" style="48" customWidth="1"/>
    <col min="10695" max="10695" width="26.5703125" style="48" customWidth="1"/>
    <col min="10696" max="10696" width="0.85546875" style="48" customWidth="1"/>
    <col min="10697" max="10697" width="10.7109375" style="48" customWidth="1"/>
    <col min="10698" max="10698" width="0.85546875" style="48" customWidth="1"/>
    <col min="10699" max="10699" width="15.7109375" style="48" customWidth="1"/>
    <col min="10700" max="10700" width="19.5703125" style="48" customWidth="1"/>
    <col min="10701" max="10701" width="0.85546875" style="48" customWidth="1"/>
    <col min="10702" max="10703" width="14.7109375" style="48" customWidth="1"/>
    <col min="10704" max="10704" width="0.85546875" style="48" customWidth="1"/>
    <col min="10705" max="10706" width="14.7109375" style="48" customWidth="1"/>
    <col min="10707" max="10707" width="0.85546875" style="48" customWidth="1"/>
    <col min="10708" max="10708" width="14.7109375" style="48" customWidth="1"/>
    <col min="10709" max="10709" width="0.85546875" style="48" customWidth="1"/>
    <col min="10710" max="10710" width="7.7109375" style="48" customWidth="1"/>
    <col min="10711" max="10712" width="6.7109375" style="48" customWidth="1"/>
    <col min="10713" max="10713" width="8.28515625" style="48" customWidth="1"/>
    <col min="10714" max="10714" width="8.7109375" style="48" customWidth="1"/>
    <col min="10715" max="10949" width="11.42578125" style="48"/>
    <col min="10950" max="10950" width="3.42578125" style="48" customWidth="1"/>
    <col min="10951" max="10951" width="26.5703125" style="48" customWidth="1"/>
    <col min="10952" max="10952" width="0.85546875" style="48" customWidth="1"/>
    <col min="10953" max="10953" width="10.7109375" style="48" customWidth="1"/>
    <col min="10954" max="10954" width="0.85546875" style="48" customWidth="1"/>
    <col min="10955" max="10955" width="15.7109375" style="48" customWidth="1"/>
    <col min="10956" max="10956" width="19.5703125" style="48" customWidth="1"/>
    <col min="10957" max="10957" width="0.85546875" style="48" customWidth="1"/>
    <col min="10958" max="10959" width="14.7109375" style="48" customWidth="1"/>
    <col min="10960" max="10960" width="0.85546875" style="48" customWidth="1"/>
    <col min="10961" max="10962" width="14.7109375" style="48" customWidth="1"/>
    <col min="10963" max="10963" width="0.85546875" style="48" customWidth="1"/>
    <col min="10964" max="10964" width="14.7109375" style="48" customWidth="1"/>
    <col min="10965" max="10965" width="0.85546875" style="48" customWidth="1"/>
    <col min="10966" max="10966" width="7.7109375" style="48" customWidth="1"/>
    <col min="10967" max="10968" width="6.7109375" style="48" customWidth="1"/>
    <col min="10969" max="10969" width="8.28515625" style="48" customWidth="1"/>
    <col min="10970" max="10970" width="8.7109375" style="48" customWidth="1"/>
    <col min="10971" max="11205" width="11.42578125" style="48"/>
    <col min="11206" max="11206" width="3.42578125" style="48" customWidth="1"/>
    <col min="11207" max="11207" width="26.5703125" style="48" customWidth="1"/>
    <col min="11208" max="11208" width="0.85546875" style="48" customWidth="1"/>
    <col min="11209" max="11209" width="10.7109375" style="48" customWidth="1"/>
    <col min="11210" max="11210" width="0.85546875" style="48" customWidth="1"/>
    <col min="11211" max="11211" width="15.7109375" style="48" customWidth="1"/>
    <col min="11212" max="11212" width="19.5703125" style="48" customWidth="1"/>
    <col min="11213" max="11213" width="0.85546875" style="48" customWidth="1"/>
    <col min="11214" max="11215" width="14.7109375" style="48" customWidth="1"/>
    <col min="11216" max="11216" width="0.85546875" style="48" customWidth="1"/>
    <col min="11217" max="11218" width="14.7109375" style="48" customWidth="1"/>
    <col min="11219" max="11219" width="0.85546875" style="48" customWidth="1"/>
    <col min="11220" max="11220" width="14.7109375" style="48" customWidth="1"/>
    <col min="11221" max="11221" width="0.85546875" style="48" customWidth="1"/>
    <col min="11222" max="11222" width="7.7109375" style="48" customWidth="1"/>
    <col min="11223" max="11224" width="6.7109375" style="48" customWidth="1"/>
    <col min="11225" max="11225" width="8.28515625" style="48" customWidth="1"/>
    <col min="11226" max="11226" width="8.7109375" style="48" customWidth="1"/>
    <col min="11227" max="11461" width="11.42578125" style="48"/>
    <col min="11462" max="11462" width="3.42578125" style="48" customWidth="1"/>
    <col min="11463" max="11463" width="26.5703125" style="48" customWidth="1"/>
    <col min="11464" max="11464" width="0.85546875" style="48" customWidth="1"/>
    <col min="11465" max="11465" width="10.7109375" style="48" customWidth="1"/>
    <col min="11466" max="11466" width="0.85546875" style="48" customWidth="1"/>
    <col min="11467" max="11467" width="15.7109375" style="48" customWidth="1"/>
    <col min="11468" max="11468" width="19.5703125" style="48" customWidth="1"/>
    <col min="11469" max="11469" width="0.85546875" style="48" customWidth="1"/>
    <col min="11470" max="11471" width="14.7109375" style="48" customWidth="1"/>
    <col min="11472" max="11472" width="0.85546875" style="48" customWidth="1"/>
    <col min="11473" max="11474" width="14.7109375" style="48" customWidth="1"/>
    <col min="11475" max="11475" width="0.85546875" style="48" customWidth="1"/>
    <col min="11476" max="11476" width="14.7109375" style="48" customWidth="1"/>
    <col min="11477" max="11477" width="0.85546875" style="48" customWidth="1"/>
    <col min="11478" max="11478" width="7.7109375" style="48" customWidth="1"/>
    <col min="11479" max="11480" width="6.7109375" style="48" customWidth="1"/>
    <col min="11481" max="11481" width="8.28515625" style="48" customWidth="1"/>
    <col min="11482" max="11482" width="8.7109375" style="48" customWidth="1"/>
    <col min="11483" max="11717" width="11.42578125" style="48"/>
    <col min="11718" max="11718" width="3.42578125" style="48" customWidth="1"/>
    <col min="11719" max="11719" width="26.5703125" style="48" customWidth="1"/>
    <col min="11720" max="11720" width="0.85546875" style="48" customWidth="1"/>
    <col min="11721" max="11721" width="10.7109375" style="48" customWidth="1"/>
    <col min="11722" max="11722" width="0.85546875" style="48" customWidth="1"/>
    <col min="11723" max="11723" width="15.7109375" style="48" customWidth="1"/>
    <col min="11724" max="11724" width="19.5703125" style="48" customWidth="1"/>
    <col min="11725" max="11725" width="0.85546875" style="48" customWidth="1"/>
    <col min="11726" max="11727" width="14.7109375" style="48" customWidth="1"/>
    <col min="11728" max="11728" width="0.85546875" style="48" customWidth="1"/>
    <col min="11729" max="11730" width="14.7109375" style="48" customWidth="1"/>
    <col min="11731" max="11731" width="0.85546875" style="48" customWidth="1"/>
    <col min="11732" max="11732" width="14.7109375" style="48" customWidth="1"/>
    <col min="11733" max="11733" width="0.85546875" style="48" customWidth="1"/>
    <col min="11734" max="11734" width="7.7109375" style="48" customWidth="1"/>
    <col min="11735" max="11736" width="6.7109375" style="48" customWidth="1"/>
    <col min="11737" max="11737" width="8.28515625" style="48" customWidth="1"/>
    <col min="11738" max="11738" width="8.7109375" style="48" customWidth="1"/>
    <col min="11739" max="11973" width="11.42578125" style="48"/>
    <col min="11974" max="11974" width="3.42578125" style="48" customWidth="1"/>
    <col min="11975" max="11975" width="26.5703125" style="48" customWidth="1"/>
    <col min="11976" max="11976" width="0.85546875" style="48" customWidth="1"/>
    <col min="11977" max="11977" width="10.7109375" style="48" customWidth="1"/>
    <col min="11978" max="11978" width="0.85546875" style="48" customWidth="1"/>
    <col min="11979" max="11979" width="15.7109375" style="48" customWidth="1"/>
    <col min="11980" max="11980" width="19.5703125" style="48" customWidth="1"/>
    <col min="11981" max="11981" width="0.85546875" style="48" customWidth="1"/>
    <col min="11982" max="11983" width="14.7109375" style="48" customWidth="1"/>
    <col min="11984" max="11984" width="0.85546875" style="48" customWidth="1"/>
    <col min="11985" max="11986" width="14.7109375" style="48" customWidth="1"/>
    <col min="11987" max="11987" width="0.85546875" style="48" customWidth="1"/>
    <col min="11988" max="11988" width="14.7109375" style="48" customWidth="1"/>
    <col min="11989" max="11989" width="0.85546875" style="48" customWidth="1"/>
    <col min="11990" max="11990" width="7.7109375" style="48" customWidth="1"/>
    <col min="11991" max="11992" width="6.7109375" style="48" customWidth="1"/>
    <col min="11993" max="11993" width="8.28515625" style="48" customWidth="1"/>
    <col min="11994" max="11994" width="8.7109375" style="48" customWidth="1"/>
    <col min="11995" max="12229" width="11.42578125" style="48"/>
    <col min="12230" max="12230" width="3.42578125" style="48" customWidth="1"/>
    <col min="12231" max="12231" width="26.5703125" style="48" customWidth="1"/>
    <col min="12232" max="12232" width="0.85546875" style="48" customWidth="1"/>
    <col min="12233" max="12233" width="10.7109375" style="48" customWidth="1"/>
    <col min="12234" max="12234" width="0.85546875" style="48" customWidth="1"/>
    <col min="12235" max="12235" width="15.7109375" style="48" customWidth="1"/>
    <col min="12236" max="12236" width="19.5703125" style="48" customWidth="1"/>
    <col min="12237" max="12237" width="0.85546875" style="48" customWidth="1"/>
    <col min="12238" max="12239" width="14.7109375" style="48" customWidth="1"/>
    <col min="12240" max="12240" width="0.85546875" style="48" customWidth="1"/>
    <col min="12241" max="12242" width="14.7109375" style="48" customWidth="1"/>
    <col min="12243" max="12243" width="0.85546875" style="48" customWidth="1"/>
    <col min="12244" max="12244" width="14.7109375" style="48" customWidth="1"/>
    <col min="12245" max="12245" width="0.85546875" style="48" customWidth="1"/>
    <col min="12246" max="12246" width="7.7109375" style="48" customWidth="1"/>
    <col min="12247" max="12248" width="6.7109375" style="48" customWidth="1"/>
    <col min="12249" max="12249" width="8.28515625" style="48" customWidth="1"/>
    <col min="12250" max="12250" width="8.7109375" style="48" customWidth="1"/>
    <col min="12251" max="12485" width="11.42578125" style="48"/>
    <col min="12486" max="12486" width="3.42578125" style="48" customWidth="1"/>
    <col min="12487" max="12487" width="26.5703125" style="48" customWidth="1"/>
    <col min="12488" max="12488" width="0.85546875" style="48" customWidth="1"/>
    <col min="12489" max="12489" width="10.7109375" style="48" customWidth="1"/>
    <col min="12490" max="12490" width="0.85546875" style="48" customWidth="1"/>
    <col min="12491" max="12491" width="15.7109375" style="48" customWidth="1"/>
    <col min="12492" max="12492" width="19.5703125" style="48" customWidth="1"/>
    <col min="12493" max="12493" width="0.85546875" style="48" customWidth="1"/>
    <col min="12494" max="12495" width="14.7109375" style="48" customWidth="1"/>
    <col min="12496" max="12496" width="0.85546875" style="48" customWidth="1"/>
    <col min="12497" max="12498" width="14.7109375" style="48" customWidth="1"/>
    <col min="12499" max="12499" width="0.85546875" style="48" customWidth="1"/>
    <col min="12500" max="12500" width="14.7109375" style="48" customWidth="1"/>
    <col min="12501" max="12501" width="0.85546875" style="48" customWidth="1"/>
    <col min="12502" max="12502" width="7.7109375" style="48" customWidth="1"/>
    <col min="12503" max="12504" width="6.7109375" style="48" customWidth="1"/>
    <col min="12505" max="12505" width="8.28515625" style="48" customWidth="1"/>
    <col min="12506" max="12506" width="8.7109375" style="48" customWidth="1"/>
    <col min="12507" max="12741" width="11.42578125" style="48"/>
    <col min="12742" max="12742" width="3.42578125" style="48" customWidth="1"/>
    <col min="12743" max="12743" width="26.5703125" style="48" customWidth="1"/>
    <col min="12744" max="12744" width="0.85546875" style="48" customWidth="1"/>
    <col min="12745" max="12745" width="10.7109375" style="48" customWidth="1"/>
    <col min="12746" max="12746" width="0.85546875" style="48" customWidth="1"/>
    <col min="12747" max="12747" width="15.7109375" style="48" customWidth="1"/>
    <col min="12748" max="12748" width="19.5703125" style="48" customWidth="1"/>
    <col min="12749" max="12749" width="0.85546875" style="48" customWidth="1"/>
    <col min="12750" max="12751" width="14.7109375" style="48" customWidth="1"/>
    <col min="12752" max="12752" width="0.85546875" style="48" customWidth="1"/>
    <col min="12753" max="12754" width="14.7109375" style="48" customWidth="1"/>
    <col min="12755" max="12755" width="0.85546875" style="48" customWidth="1"/>
    <col min="12756" max="12756" width="14.7109375" style="48" customWidth="1"/>
    <col min="12757" max="12757" width="0.85546875" style="48" customWidth="1"/>
    <col min="12758" max="12758" width="7.7109375" style="48" customWidth="1"/>
    <col min="12759" max="12760" width="6.7109375" style="48" customWidth="1"/>
    <col min="12761" max="12761" width="8.28515625" style="48" customWidth="1"/>
    <col min="12762" max="12762" width="8.7109375" style="48" customWidth="1"/>
    <col min="12763" max="12997" width="11.42578125" style="48"/>
    <col min="12998" max="12998" width="3.42578125" style="48" customWidth="1"/>
    <col min="12999" max="12999" width="26.5703125" style="48" customWidth="1"/>
    <col min="13000" max="13000" width="0.85546875" style="48" customWidth="1"/>
    <col min="13001" max="13001" width="10.7109375" style="48" customWidth="1"/>
    <col min="13002" max="13002" width="0.85546875" style="48" customWidth="1"/>
    <col min="13003" max="13003" width="15.7109375" style="48" customWidth="1"/>
    <col min="13004" max="13004" width="19.5703125" style="48" customWidth="1"/>
    <col min="13005" max="13005" width="0.85546875" style="48" customWidth="1"/>
    <col min="13006" max="13007" width="14.7109375" style="48" customWidth="1"/>
    <col min="13008" max="13008" width="0.85546875" style="48" customWidth="1"/>
    <col min="13009" max="13010" width="14.7109375" style="48" customWidth="1"/>
    <col min="13011" max="13011" width="0.85546875" style="48" customWidth="1"/>
    <col min="13012" max="13012" width="14.7109375" style="48" customWidth="1"/>
    <col min="13013" max="13013" width="0.85546875" style="48" customWidth="1"/>
    <col min="13014" max="13014" width="7.7109375" style="48" customWidth="1"/>
    <col min="13015" max="13016" width="6.7109375" style="48" customWidth="1"/>
    <col min="13017" max="13017" width="8.28515625" style="48" customWidth="1"/>
    <col min="13018" max="13018" width="8.7109375" style="48" customWidth="1"/>
    <col min="13019" max="13253" width="11.42578125" style="48"/>
    <col min="13254" max="13254" width="3.42578125" style="48" customWidth="1"/>
    <col min="13255" max="13255" width="26.5703125" style="48" customWidth="1"/>
    <col min="13256" max="13256" width="0.85546875" style="48" customWidth="1"/>
    <col min="13257" max="13257" width="10.7109375" style="48" customWidth="1"/>
    <col min="13258" max="13258" width="0.85546875" style="48" customWidth="1"/>
    <col min="13259" max="13259" width="15.7109375" style="48" customWidth="1"/>
    <col min="13260" max="13260" width="19.5703125" style="48" customWidth="1"/>
    <col min="13261" max="13261" width="0.85546875" style="48" customWidth="1"/>
    <col min="13262" max="13263" width="14.7109375" style="48" customWidth="1"/>
    <col min="13264" max="13264" width="0.85546875" style="48" customWidth="1"/>
    <col min="13265" max="13266" width="14.7109375" style="48" customWidth="1"/>
    <col min="13267" max="13267" width="0.85546875" style="48" customWidth="1"/>
    <col min="13268" max="13268" width="14.7109375" style="48" customWidth="1"/>
    <col min="13269" max="13269" width="0.85546875" style="48" customWidth="1"/>
    <col min="13270" max="13270" width="7.7109375" style="48" customWidth="1"/>
    <col min="13271" max="13272" width="6.7109375" style="48" customWidth="1"/>
    <col min="13273" max="13273" width="8.28515625" style="48" customWidth="1"/>
    <col min="13274" max="13274" width="8.7109375" style="48" customWidth="1"/>
    <col min="13275" max="13509" width="11.42578125" style="48"/>
    <col min="13510" max="13510" width="3.42578125" style="48" customWidth="1"/>
    <col min="13511" max="13511" width="26.5703125" style="48" customWidth="1"/>
    <col min="13512" max="13512" width="0.85546875" style="48" customWidth="1"/>
    <col min="13513" max="13513" width="10.7109375" style="48" customWidth="1"/>
    <col min="13514" max="13514" width="0.85546875" style="48" customWidth="1"/>
    <col min="13515" max="13515" width="15.7109375" style="48" customWidth="1"/>
    <col min="13516" max="13516" width="19.5703125" style="48" customWidth="1"/>
    <col min="13517" max="13517" width="0.85546875" style="48" customWidth="1"/>
    <col min="13518" max="13519" width="14.7109375" style="48" customWidth="1"/>
    <col min="13520" max="13520" width="0.85546875" style="48" customWidth="1"/>
    <col min="13521" max="13522" width="14.7109375" style="48" customWidth="1"/>
    <col min="13523" max="13523" width="0.85546875" style="48" customWidth="1"/>
    <col min="13524" max="13524" width="14.7109375" style="48" customWidth="1"/>
    <col min="13525" max="13525" width="0.85546875" style="48" customWidth="1"/>
    <col min="13526" max="13526" width="7.7109375" style="48" customWidth="1"/>
    <col min="13527" max="13528" width="6.7109375" style="48" customWidth="1"/>
    <col min="13529" max="13529" width="8.28515625" style="48" customWidth="1"/>
    <col min="13530" max="13530" width="8.7109375" style="48" customWidth="1"/>
    <col min="13531" max="13765" width="11.42578125" style="48"/>
    <col min="13766" max="13766" width="3.42578125" style="48" customWidth="1"/>
    <col min="13767" max="13767" width="26.5703125" style="48" customWidth="1"/>
    <col min="13768" max="13768" width="0.85546875" style="48" customWidth="1"/>
    <col min="13769" max="13769" width="10.7109375" style="48" customWidth="1"/>
    <col min="13770" max="13770" width="0.85546875" style="48" customWidth="1"/>
    <col min="13771" max="13771" width="15.7109375" style="48" customWidth="1"/>
    <col min="13772" max="13772" width="19.5703125" style="48" customWidth="1"/>
    <col min="13773" max="13773" width="0.85546875" style="48" customWidth="1"/>
    <col min="13774" max="13775" width="14.7109375" style="48" customWidth="1"/>
    <col min="13776" max="13776" width="0.85546875" style="48" customWidth="1"/>
    <col min="13777" max="13778" width="14.7109375" style="48" customWidth="1"/>
    <col min="13779" max="13779" width="0.85546875" style="48" customWidth="1"/>
    <col min="13780" max="13780" width="14.7109375" style="48" customWidth="1"/>
    <col min="13781" max="13781" width="0.85546875" style="48" customWidth="1"/>
    <col min="13782" max="13782" width="7.7109375" style="48" customWidth="1"/>
    <col min="13783" max="13784" width="6.7109375" style="48" customWidth="1"/>
    <col min="13785" max="13785" width="8.28515625" style="48" customWidth="1"/>
    <col min="13786" max="13786" width="8.7109375" style="48" customWidth="1"/>
    <col min="13787" max="14021" width="11.42578125" style="48"/>
    <col min="14022" max="14022" width="3.42578125" style="48" customWidth="1"/>
    <col min="14023" max="14023" width="26.5703125" style="48" customWidth="1"/>
    <col min="14024" max="14024" width="0.85546875" style="48" customWidth="1"/>
    <col min="14025" max="14025" width="10.7109375" style="48" customWidth="1"/>
    <col min="14026" max="14026" width="0.85546875" style="48" customWidth="1"/>
    <col min="14027" max="14027" width="15.7109375" style="48" customWidth="1"/>
    <col min="14028" max="14028" width="19.5703125" style="48" customWidth="1"/>
    <col min="14029" max="14029" width="0.85546875" style="48" customWidth="1"/>
    <col min="14030" max="14031" width="14.7109375" style="48" customWidth="1"/>
    <col min="14032" max="14032" width="0.85546875" style="48" customWidth="1"/>
    <col min="14033" max="14034" width="14.7109375" style="48" customWidth="1"/>
    <col min="14035" max="14035" width="0.85546875" style="48" customWidth="1"/>
    <col min="14036" max="14036" width="14.7109375" style="48" customWidth="1"/>
    <col min="14037" max="14037" width="0.85546875" style="48" customWidth="1"/>
    <col min="14038" max="14038" width="7.7109375" style="48" customWidth="1"/>
    <col min="14039" max="14040" width="6.7109375" style="48" customWidth="1"/>
    <col min="14041" max="14041" width="8.28515625" style="48" customWidth="1"/>
    <col min="14042" max="14042" width="8.7109375" style="48" customWidth="1"/>
    <col min="14043" max="14277" width="11.42578125" style="48"/>
    <col min="14278" max="14278" width="3.42578125" style="48" customWidth="1"/>
    <col min="14279" max="14279" width="26.5703125" style="48" customWidth="1"/>
    <col min="14280" max="14280" width="0.85546875" style="48" customWidth="1"/>
    <col min="14281" max="14281" width="10.7109375" style="48" customWidth="1"/>
    <col min="14282" max="14282" width="0.85546875" style="48" customWidth="1"/>
    <col min="14283" max="14283" width="15.7109375" style="48" customWidth="1"/>
    <col min="14284" max="14284" width="19.5703125" style="48" customWidth="1"/>
    <col min="14285" max="14285" width="0.85546875" style="48" customWidth="1"/>
    <col min="14286" max="14287" width="14.7109375" style="48" customWidth="1"/>
    <col min="14288" max="14288" width="0.85546875" style="48" customWidth="1"/>
    <col min="14289" max="14290" width="14.7109375" style="48" customWidth="1"/>
    <col min="14291" max="14291" width="0.85546875" style="48" customWidth="1"/>
    <col min="14292" max="14292" width="14.7109375" style="48" customWidth="1"/>
    <col min="14293" max="14293" width="0.85546875" style="48" customWidth="1"/>
    <col min="14294" max="14294" width="7.7109375" style="48" customWidth="1"/>
    <col min="14295" max="14296" width="6.7109375" style="48" customWidth="1"/>
    <col min="14297" max="14297" width="8.28515625" style="48" customWidth="1"/>
    <col min="14298" max="14298" width="8.7109375" style="48" customWidth="1"/>
    <col min="14299" max="14533" width="11.42578125" style="48"/>
    <col min="14534" max="14534" width="3.42578125" style="48" customWidth="1"/>
    <col min="14535" max="14535" width="26.5703125" style="48" customWidth="1"/>
    <col min="14536" max="14536" width="0.85546875" style="48" customWidth="1"/>
    <col min="14537" max="14537" width="10.7109375" style="48" customWidth="1"/>
    <col min="14538" max="14538" width="0.85546875" style="48" customWidth="1"/>
    <col min="14539" max="14539" width="15.7109375" style="48" customWidth="1"/>
    <col min="14540" max="14540" width="19.5703125" style="48" customWidth="1"/>
    <col min="14541" max="14541" width="0.85546875" style="48" customWidth="1"/>
    <col min="14542" max="14543" width="14.7109375" style="48" customWidth="1"/>
    <col min="14544" max="14544" width="0.85546875" style="48" customWidth="1"/>
    <col min="14545" max="14546" width="14.7109375" style="48" customWidth="1"/>
    <col min="14547" max="14547" width="0.85546875" style="48" customWidth="1"/>
    <col min="14548" max="14548" width="14.7109375" style="48" customWidth="1"/>
    <col min="14549" max="14549" width="0.85546875" style="48" customWidth="1"/>
    <col min="14550" max="14550" width="7.7109375" style="48" customWidth="1"/>
    <col min="14551" max="14552" width="6.7109375" style="48" customWidth="1"/>
    <col min="14553" max="14553" width="8.28515625" style="48" customWidth="1"/>
    <col min="14554" max="14554" width="8.7109375" style="48" customWidth="1"/>
    <col min="14555" max="14789" width="11.42578125" style="48"/>
    <col min="14790" max="14790" width="3.42578125" style="48" customWidth="1"/>
    <col min="14791" max="14791" width="26.5703125" style="48" customWidth="1"/>
    <col min="14792" max="14792" width="0.85546875" style="48" customWidth="1"/>
    <col min="14793" max="14793" width="10.7109375" style="48" customWidth="1"/>
    <col min="14794" max="14794" width="0.85546875" style="48" customWidth="1"/>
    <col min="14795" max="14795" width="15.7109375" style="48" customWidth="1"/>
    <col min="14796" max="14796" width="19.5703125" style="48" customWidth="1"/>
    <col min="14797" max="14797" width="0.85546875" style="48" customWidth="1"/>
    <col min="14798" max="14799" width="14.7109375" style="48" customWidth="1"/>
    <col min="14800" max="14800" width="0.85546875" style="48" customWidth="1"/>
    <col min="14801" max="14802" width="14.7109375" style="48" customWidth="1"/>
    <col min="14803" max="14803" width="0.85546875" style="48" customWidth="1"/>
    <col min="14804" max="14804" width="14.7109375" style="48" customWidth="1"/>
    <col min="14805" max="14805" width="0.85546875" style="48" customWidth="1"/>
    <col min="14806" max="14806" width="7.7109375" style="48" customWidth="1"/>
    <col min="14807" max="14808" width="6.7109375" style="48" customWidth="1"/>
    <col min="14809" max="14809" width="8.28515625" style="48" customWidth="1"/>
    <col min="14810" max="14810" width="8.7109375" style="48" customWidth="1"/>
    <col min="14811" max="15045" width="11.42578125" style="48"/>
    <col min="15046" max="15046" width="3.42578125" style="48" customWidth="1"/>
    <col min="15047" max="15047" width="26.5703125" style="48" customWidth="1"/>
    <col min="15048" max="15048" width="0.85546875" style="48" customWidth="1"/>
    <col min="15049" max="15049" width="10.7109375" style="48" customWidth="1"/>
    <col min="15050" max="15050" width="0.85546875" style="48" customWidth="1"/>
    <col min="15051" max="15051" width="15.7109375" style="48" customWidth="1"/>
    <col min="15052" max="15052" width="19.5703125" style="48" customWidth="1"/>
    <col min="15053" max="15053" width="0.85546875" style="48" customWidth="1"/>
    <col min="15054" max="15055" width="14.7109375" style="48" customWidth="1"/>
    <col min="15056" max="15056" width="0.85546875" style="48" customWidth="1"/>
    <col min="15057" max="15058" width="14.7109375" style="48" customWidth="1"/>
    <col min="15059" max="15059" width="0.85546875" style="48" customWidth="1"/>
    <col min="15060" max="15060" width="14.7109375" style="48" customWidth="1"/>
    <col min="15061" max="15061" width="0.85546875" style="48" customWidth="1"/>
    <col min="15062" max="15062" width="7.7109375" style="48" customWidth="1"/>
    <col min="15063" max="15064" width="6.7109375" style="48" customWidth="1"/>
    <col min="15065" max="15065" width="8.28515625" style="48" customWidth="1"/>
    <col min="15066" max="15066" width="8.7109375" style="48" customWidth="1"/>
    <col min="15067" max="15301" width="11.42578125" style="48"/>
    <col min="15302" max="15302" width="3.42578125" style="48" customWidth="1"/>
    <col min="15303" max="15303" width="26.5703125" style="48" customWidth="1"/>
    <col min="15304" max="15304" width="0.85546875" style="48" customWidth="1"/>
    <col min="15305" max="15305" width="10.7109375" style="48" customWidth="1"/>
    <col min="15306" max="15306" width="0.85546875" style="48" customWidth="1"/>
    <col min="15307" max="15307" width="15.7109375" style="48" customWidth="1"/>
    <col min="15308" max="15308" width="19.5703125" style="48" customWidth="1"/>
    <col min="15309" max="15309" width="0.85546875" style="48" customWidth="1"/>
    <col min="15310" max="15311" width="14.7109375" style="48" customWidth="1"/>
    <col min="15312" max="15312" width="0.85546875" style="48" customWidth="1"/>
    <col min="15313" max="15314" width="14.7109375" style="48" customWidth="1"/>
    <col min="15315" max="15315" width="0.85546875" style="48" customWidth="1"/>
    <col min="15316" max="15316" width="14.7109375" style="48" customWidth="1"/>
    <col min="15317" max="15317" width="0.85546875" style="48" customWidth="1"/>
    <col min="15318" max="15318" width="7.7109375" style="48" customWidth="1"/>
    <col min="15319" max="15320" width="6.7109375" style="48" customWidth="1"/>
    <col min="15321" max="15321" width="8.28515625" style="48" customWidth="1"/>
    <col min="15322" max="15322" width="8.7109375" style="48" customWidth="1"/>
    <col min="15323" max="15557" width="11.42578125" style="48"/>
    <col min="15558" max="15558" width="3.42578125" style="48" customWidth="1"/>
    <col min="15559" max="15559" width="26.5703125" style="48" customWidth="1"/>
    <col min="15560" max="15560" width="0.85546875" style="48" customWidth="1"/>
    <col min="15561" max="15561" width="10.7109375" style="48" customWidth="1"/>
    <col min="15562" max="15562" width="0.85546875" style="48" customWidth="1"/>
    <col min="15563" max="15563" width="15.7109375" style="48" customWidth="1"/>
    <col min="15564" max="15564" width="19.5703125" style="48" customWidth="1"/>
    <col min="15565" max="15565" width="0.85546875" style="48" customWidth="1"/>
    <col min="15566" max="15567" width="14.7109375" style="48" customWidth="1"/>
    <col min="15568" max="15568" width="0.85546875" style="48" customWidth="1"/>
    <col min="15569" max="15570" width="14.7109375" style="48" customWidth="1"/>
    <col min="15571" max="15571" width="0.85546875" style="48" customWidth="1"/>
    <col min="15572" max="15572" width="14.7109375" style="48" customWidth="1"/>
    <col min="15573" max="15573" width="0.85546875" style="48" customWidth="1"/>
    <col min="15574" max="15574" width="7.7109375" style="48" customWidth="1"/>
    <col min="15575" max="15576" width="6.7109375" style="48" customWidth="1"/>
    <col min="15577" max="15577" width="8.28515625" style="48" customWidth="1"/>
    <col min="15578" max="15578" width="8.7109375" style="48" customWidth="1"/>
    <col min="15579" max="15813" width="11.42578125" style="48"/>
    <col min="15814" max="15814" width="3.42578125" style="48" customWidth="1"/>
    <col min="15815" max="15815" width="26.5703125" style="48" customWidth="1"/>
    <col min="15816" max="15816" width="0.85546875" style="48" customWidth="1"/>
    <col min="15817" max="15817" width="10.7109375" style="48" customWidth="1"/>
    <col min="15818" max="15818" width="0.85546875" style="48" customWidth="1"/>
    <col min="15819" max="15819" width="15.7109375" style="48" customWidth="1"/>
    <col min="15820" max="15820" width="19.5703125" style="48" customWidth="1"/>
    <col min="15821" max="15821" width="0.85546875" style="48" customWidth="1"/>
    <col min="15822" max="15823" width="14.7109375" style="48" customWidth="1"/>
    <col min="15824" max="15824" width="0.85546875" style="48" customWidth="1"/>
    <col min="15825" max="15826" width="14.7109375" style="48" customWidth="1"/>
    <col min="15827" max="15827" width="0.85546875" style="48" customWidth="1"/>
    <col min="15828" max="15828" width="14.7109375" style="48" customWidth="1"/>
    <col min="15829" max="15829" width="0.85546875" style="48" customWidth="1"/>
    <col min="15830" max="15830" width="7.7109375" style="48" customWidth="1"/>
    <col min="15831" max="15832" width="6.7109375" style="48" customWidth="1"/>
    <col min="15833" max="15833" width="8.28515625" style="48" customWidth="1"/>
    <col min="15834" max="15834" width="8.7109375" style="48" customWidth="1"/>
    <col min="15835" max="16069" width="11.42578125" style="48"/>
    <col min="16070" max="16070" width="3.42578125" style="48" customWidth="1"/>
    <col min="16071" max="16071" width="26.5703125" style="48" customWidth="1"/>
    <col min="16072" max="16072" width="0.85546875" style="48" customWidth="1"/>
    <col min="16073" max="16073" width="10.7109375" style="48" customWidth="1"/>
    <col min="16074" max="16074" width="0.85546875" style="48" customWidth="1"/>
    <col min="16075" max="16075" width="15.7109375" style="48" customWidth="1"/>
    <col min="16076" max="16076" width="19.5703125" style="48" customWidth="1"/>
    <col min="16077" max="16077" width="0.85546875" style="48" customWidth="1"/>
    <col min="16078" max="16079" width="14.7109375" style="48" customWidth="1"/>
    <col min="16080" max="16080" width="0.85546875" style="48" customWidth="1"/>
    <col min="16081" max="16082" width="14.7109375" style="48" customWidth="1"/>
    <col min="16083" max="16083" width="0.85546875" style="48" customWidth="1"/>
    <col min="16084" max="16084" width="14.7109375" style="48" customWidth="1"/>
    <col min="16085" max="16085" width="0.85546875" style="48" customWidth="1"/>
    <col min="16086" max="16086" width="7.7109375" style="48" customWidth="1"/>
    <col min="16087" max="16088" width="6.7109375" style="48" customWidth="1"/>
    <col min="16089" max="16089" width="8.28515625" style="48" customWidth="1"/>
    <col min="16090" max="16090" width="8.7109375" style="48" customWidth="1"/>
    <col min="16091" max="16384" width="11.42578125" style="48"/>
  </cols>
  <sheetData>
    <row r="1" spans="1:23" ht="21.95" customHeight="1" x14ac:dyDescent="0.25">
      <c r="A1" s="232"/>
    </row>
    <row r="2" spans="1:23" ht="21.95" customHeight="1" x14ac:dyDescent="0.25">
      <c r="B2" s="832" t="s">
        <v>142</v>
      </c>
      <c r="C2" s="832"/>
      <c r="D2" s="832"/>
      <c r="E2" s="832"/>
      <c r="F2" s="832"/>
      <c r="G2" s="832"/>
      <c r="H2" s="832"/>
      <c r="I2" s="832"/>
      <c r="J2" s="832"/>
      <c r="K2" s="832"/>
      <c r="L2" s="832"/>
      <c r="M2" s="832"/>
      <c r="N2" s="832"/>
      <c r="O2" s="832"/>
      <c r="P2" s="832"/>
      <c r="Q2" s="832"/>
      <c r="R2" s="832"/>
      <c r="S2" s="832"/>
      <c r="T2" s="832"/>
      <c r="U2" s="832"/>
    </row>
    <row r="3" spans="1:23" ht="21.95" customHeight="1" x14ac:dyDescent="0.25">
      <c r="B3" s="5"/>
      <c r="C3" s="5"/>
      <c r="D3" s="5"/>
      <c r="E3" s="5"/>
      <c r="F3" s="492"/>
      <c r="G3" s="5"/>
      <c r="H3" s="5"/>
      <c r="I3" s="492"/>
      <c r="J3" s="492"/>
      <c r="K3" s="5"/>
      <c r="L3" s="492"/>
      <c r="M3" s="492"/>
      <c r="N3" s="5"/>
      <c r="O3" s="492"/>
      <c r="P3" s="5"/>
      <c r="Q3" s="5"/>
      <c r="R3" s="5"/>
      <c r="S3" s="5"/>
      <c r="T3" s="5"/>
      <c r="U3" s="5"/>
    </row>
    <row r="4" spans="1:23" s="49" customFormat="1" ht="21.95" customHeight="1" x14ac:dyDescent="0.25">
      <c r="B4" s="80"/>
      <c r="C4" s="412"/>
      <c r="F4" s="820" t="s">
        <v>170</v>
      </c>
      <c r="G4" s="821"/>
      <c r="H4" s="431"/>
      <c r="I4" s="822" t="str">
        <f>Production!I4</f>
        <v>Décembre 2025</v>
      </c>
      <c r="J4" s="823"/>
      <c r="K4" s="255"/>
      <c r="L4" s="824" t="str">
        <f>Production!L4</f>
        <v>Cumul à fin Décembre 2025</v>
      </c>
      <c r="M4" s="825"/>
      <c r="N4" s="8"/>
      <c r="O4" s="9" t="s">
        <v>0</v>
      </c>
      <c r="P4" s="7"/>
      <c r="Q4" s="829" t="s">
        <v>1</v>
      </c>
      <c r="R4" s="830"/>
      <c r="S4" s="830"/>
      <c r="T4" s="830"/>
      <c r="U4" s="831"/>
    </row>
    <row r="5" spans="1:23" s="49" customFormat="1" ht="30" customHeight="1" x14ac:dyDescent="0.25">
      <c r="B5" s="108"/>
      <c r="D5" s="50"/>
      <c r="F5" s="613" t="str">
        <f>Production!F5</f>
        <v>Décembre</v>
      </c>
      <c r="G5" s="613" t="str">
        <f>Production!G5</f>
        <v>Cumul à fin décembre</v>
      </c>
      <c r="H5" s="614"/>
      <c r="I5" s="11" t="s">
        <v>2</v>
      </c>
      <c r="J5" s="11" t="s">
        <v>3</v>
      </c>
      <c r="K5" s="255"/>
      <c r="L5" s="11" t="s">
        <v>2</v>
      </c>
      <c r="M5" s="11" t="s">
        <v>3</v>
      </c>
      <c r="N5" s="12"/>
      <c r="O5" s="13">
        <v>2025</v>
      </c>
      <c r="P5" s="7"/>
      <c r="Q5" s="829" t="s">
        <v>3</v>
      </c>
      <c r="R5" s="830"/>
      <c r="S5" s="831"/>
      <c r="T5" s="829" t="s">
        <v>4</v>
      </c>
      <c r="U5" s="831"/>
    </row>
    <row r="6" spans="1:23" s="14" customFormat="1" ht="21.95" customHeight="1" x14ac:dyDescent="0.25">
      <c r="B6" s="109" t="s">
        <v>48</v>
      </c>
      <c r="C6" s="110"/>
      <c r="D6" s="110"/>
      <c r="F6" s="53" t="s">
        <v>6</v>
      </c>
      <c r="G6" s="53" t="s">
        <v>7</v>
      </c>
      <c r="H6" s="54"/>
      <c r="I6" s="53" t="s">
        <v>8</v>
      </c>
      <c r="J6" s="53" t="s">
        <v>9</v>
      </c>
      <c r="K6" s="48"/>
      <c r="L6" s="53" t="s">
        <v>10</v>
      </c>
      <c r="M6" s="53" t="s">
        <v>11</v>
      </c>
      <c r="N6" s="55"/>
      <c r="O6" s="53" t="s">
        <v>12</v>
      </c>
      <c r="P6" s="49"/>
      <c r="Q6" s="56" t="s">
        <v>13</v>
      </c>
      <c r="R6" s="56" t="s">
        <v>14</v>
      </c>
      <c r="S6" s="56" t="s">
        <v>15</v>
      </c>
      <c r="T6" s="18" t="s">
        <v>160</v>
      </c>
      <c r="U6" s="18" t="s">
        <v>159</v>
      </c>
    </row>
    <row r="7" spans="1:23" s="14" customFormat="1" ht="6" customHeight="1" x14ac:dyDescent="0.25">
      <c r="B7" s="104"/>
      <c r="C7" s="104"/>
      <c r="D7" s="104"/>
      <c r="F7" s="55"/>
      <c r="G7" s="55"/>
      <c r="H7" s="55"/>
      <c r="I7" s="55"/>
      <c r="J7" s="55"/>
      <c r="K7" s="102"/>
      <c r="L7" s="55"/>
      <c r="M7" s="55"/>
      <c r="N7" s="55"/>
      <c r="O7" s="55"/>
      <c r="P7" s="111"/>
      <c r="Q7" s="111"/>
      <c r="R7" s="111"/>
      <c r="S7" s="111"/>
      <c r="T7" s="111"/>
      <c r="U7" s="111"/>
    </row>
    <row r="8" spans="1:23" s="28" customFormat="1" ht="21.95" customHeight="1" x14ac:dyDescent="0.25">
      <c r="B8" s="112" t="s">
        <v>49</v>
      </c>
      <c r="D8" s="852" t="s">
        <v>26</v>
      </c>
      <c r="E8" s="7"/>
      <c r="F8" s="235"/>
      <c r="G8" s="235"/>
      <c r="H8" s="23"/>
      <c r="I8" s="235"/>
      <c r="J8" s="235"/>
      <c r="K8" s="25"/>
      <c r="L8" s="235"/>
      <c r="M8" s="235"/>
      <c r="N8" s="32"/>
      <c r="O8" s="83"/>
      <c r="Q8" s="84" t="str">
        <f>IFERROR(J8/I8,"-")</f>
        <v>-</v>
      </c>
      <c r="R8" s="85" t="str">
        <f>IFERROR(M8/L8,"-")</f>
        <v>-</v>
      </c>
      <c r="S8" s="86" t="str">
        <f>IFERROR(M8/O8,"-")</f>
        <v>-</v>
      </c>
      <c r="T8" s="84" t="str">
        <f>IFERROR(J8/F8-1,"-")</f>
        <v>-</v>
      </c>
      <c r="U8" s="86" t="str">
        <f>IFERROR(M8/G8-1,"-")</f>
        <v>-</v>
      </c>
      <c r="V8" s="655"/>
      <c r="W8" s="655"/>
    </row>
    <row r="9" spans="1:23" s="28" customFormat="1" ht="21.95" customHeight="1" x14ac:dyDescent="0.25">
      <c r="B9" s="113" t="s">
        <v>50</v>
      </c>
      <c r="D9" s="853"/>
      <c r="E9" s="7"/>
      <c r="F9" s="30"/>
      <c r="G9" s="30"/>
      <c r="H9" s="23"/>
      <c r="I9" s="30"/>
      <c r="J9" s="30"/>
      <c r="K9" s="25"/>
      <c r="L9" s="30"/>
      <c r="M9" s="30"/>
      <c r="N9" s="32"/>
      <c r="O9" s="29"/>
      <c r="Q9" s="43" t="str">
        <f t="shared" ref="Q9:Q36" si="0">IFERROR(J9/I9,"-")</f>
        <v>-</v>
      </c>
      <c r="R9" s="44" t="str">
        <f t="shared" ref="R9:R36" si="1">IFERROR(M9/L9,"-")</f>
        <v>-</v>
      </c>
      <c r="S9" s="45" t="str">
        <f t="shared" ref="S9:S36" si="2">IFERROR(M9/O9,"-")</f>
        <v>-</v>
      </c>
      <c r="T9" s="43" t="str">
        <f t="shared" ref="T9:T36" si="3">IFERROR(J9/F9-1,"-")</f>
        <v>-</v>
      </c>
      <c r="U9" s="654" t="str">
        <f t="shared" ref="U9:U36" si="4">IFERROR(M9/G9-1,"-")</f>
        <v>-</v>
      </c>
      <c r="V9" s="655"/>
      <c r="W9" s="655"/>
    </row>
    <row r="10" spans="1:23" s="28" customFormat="1" ht="21.95" customHeight="1" x14ac:dyDescent="0.25">
      <c r="B10" s="113" t="s">
        <v>51</v>
      </c>
      <c r="D10" s="853"/>
      <c r="E10" s="7"/>
      <c r="F10" s="30"/>
      <c r="G10" s="30"/>
      <c r="H10" s="23"/>
      <c r="I10" s="30"/>
      <c r="J10" s="30"/>
      <c r="K10" s="25"/>
      <c r="L10" s="30"/>
      <c r="M10" s="30"/>
      <c r="N10" s="32"/>
      <c r="O10" s="29"/>
      <c r="Q10" s="43" t="str">
        <f t="shared" si="0"/>
        <v>-</v>
      </c>
      <c r="R10" s="44" t="str">
        <f t="shared" si="1"/>
        <v>-</v>
      </c>
      <c r="S10" s="45" t="str">
        <f t="shared" si="2"/>
        <v>-</v>
      </c>
      <c r="T10" s="651" t="str">
        <f t="shared" si="3"/>
        <v>-</v>
      </c>
      <c r="U10" s="45" t="str">
        <f t="shared" si="4"/>
        <v>-</v>
      </c>
      <c r="V10" s="655"/>
      <c r="W10" s="655"/>
    </row>
    <row r="11" spans="1:23" s="28" customFormat="1" ht="21.95" customHeight="1" x14ac:dyDescent="0.25">
      <c r="B11" s="113" t="s">
        <v>141</v>
      </c>
      <c r="D11" s="853"/>
      <c r="E11" s="7"/>
      <c r="F11" s="30"/>
      <c r="G11" s="30"/>
      <c r="H11" s="23"/>
      <c r="I11" s="30"/>
      <c r="J11" s="30"/>
      <c r="K11" s="25"/>
      <c r="L11" s="30"/>
      <c r="M11" s="30"/>
      <c r="N11" s="32"/>
      <c r="O11" s="29"/>
      <c r="Q11" s="43" t="str">
        <f t="shared" si="0"/>
        <v>-</v>
      </c>
      <c r="R11" s="44" t="str">
        <f t="shared" si="1"/>
        <v>-</v>
      </c>
      <c r="S11" s="45" t="str">
        <f t="shared" si="2"/>
        <v>-</v>
      </c>
      <c r="T11" s="43" t="str">
        <f t="shared" si="3"/>
        <v>-</v>
      </c>
      <c r="U11" s="45" t="str">
        <f t="shared" si="4"/>
        <v>-</v>
      </c>
      <c r="V11" s="655"/>
      <c r="W11" s="655"/>
    </row>
    <row r="12" spans="1:23" s="28" customFormat="1" ht="21.95" customHeight="1" x14ac:dyDescent="0.25">
      <c r="B12" s="114" t="s">
        <v>131</v>
      </c>
      <c r="D12" s="853"/>
      <c r="E12" s="7"/>
      <c r="F12" s="250"/>
      <c r="G12" s="33"/>
      <c r="H12" s="23"/>
      <c r="I12" s="250"/>
      <c r="J12" s="33"/>
      <c r="K12" s="25"/>
      <c r="L12" s="250"/>
      <c r="M12" s="33"/>
      <c r="N12" s="32"/>
      <c r="O12" s="33"/>
      <c r="Q12" s="46" t="str">
        <f t="shared" si="0"/>
        <v>-</v>
      </c>
      <c r="R12" s="91" t="str">
        <f t="shared" si="1"/>
        <v>-</v>
      </c>
      <c r="S12" s="47" t="str">
        <f t="shared" si="2"/>
        <v>-</v>
      </c>
      <c r="T12" s="46" t="str">
        <f>IFERROR(J12/F12-1,"-")</f>
        <v>-</v>
      </c>
      <c r="U12" s="47" t="str">
        <f t="shared" si="4"/>
        <v>-</v>
      </c>
      <c r="V12" s="655"/>
      <c r="W12" s="655"/>
    </row>
    <row r="13" spans="1:23" s="58" customFormat="1" ht="21" customHeight="1" x14ac:dyDescent="0.25">
      <c r="B13" s="115" t="s">
        <v>52</v>
      </c>
      <c r="D13" s="854"/>
      <c r="E13" s="59"/>
      <c r="F13" s="95"/>
      <c r="G13" s="95"/>
      <c r="H13" s="71"/>
      <c r="I13" s="95"/>
      <c r="J13" s="95"/>
      <c r="K13" s="71"/>
      <c r="L13" s="95"/>
      <c r="M13" s="95"/>
      <c r="N13" s="26"/>
      <c r="O13" s="95"/>
      <c r="P13" s="61"/>
      <c r="Q13" s="464" t="str">
        <f t="shared" si="0"/>
        <v>-</v>
      </c>
      <c r="R13" s="463" t="str">
        <f t="shared" si="1"/>
        <v>-</v>
      </c>
      <c r="S13" s="465" t="str">
        <f t="shared" si="2"/>
        <v>-</v>
      </c>
      <c r="T13" s="464" t="str">
        <f t="shared" si="3"/>
        <v>-</v>
      </c>
      <c r="U13" s="465" t="str">
        <f t="shared" si="4"/>
        <v>-</v>
      </c>
      <c r="V13" s="655"/>
      <c r="W13" s="655"/>
    </row>
    <row r="14" spans="1:23" s="59" customFormat="1" ht="6" customHeight="1" x14ac:dyDescent="0.25">
      <c r="F14" s="72"/>
      <c r="G14" s="72"/>
      <c r="H14" s="72"/>
      <c r="I14" s="72"/>
      <c r="J14" s="72"/>
      <c r="K14" s="73"/>
      <c r="L14" s="72"/>
      <c r="M14" s="72"/>
      <c r="N14" s="72"/>
      <c r="O14" s="72"/>
      <c r="P14" s="75"/>
      <c r="Q14" s="44"/>
      <c r="R14" s="44"/>
      <c r="S14" s="44"/>
      <c r="T14" s="44"/>
      <c r="U14" s="44"/>
      <c r="V14" s="655"/>
      <c r="W14" s="655"/>
    </row>
    <row r="15" spans="1:23" s="61" customFormat="1" ht="21.95" customHeight="1" x14ac:dyDescent="0.25">
      <c r="B15" s="116" t="s">
        <v>49</v>
      </c>
      <c r="D15" s="837" t="s">
        <v>26</v>
      </c>
      <c r="E15" s="62"/>
      <c r="F15" s="809"/>
      <c r="G15" s="685"/>
      <c r="H15" s="683"/>
      <c r="I15" s="684"/>
      <c r="J15" s="685"/>
      <c r="K15" s="683"/>
      <c r="L15" s="684"/>
      <c r="M15" s="685"/>
      <c r="N15" s="477"/>
      <c r="O15" s="684"/>
      <c r="Q15" s="514" t="str">
        <f t="shared" si="0"/>
        <v>-</v>
      </c>
      <c r="R15" s="515" t="str">
        <f t="shared" si="1"/>
        <v>-</v>
      </c>
      <c r="S15" s="516" t="str">
        <f t="shared" si="2"/>
        <v>-</v>
      </c>
      <c r="T15" s="514" t="str">
        <f>IFERROR(J15/F15-1,"-")</f>
        <v>-</v>
      </c>
      <c r="U15" s="516" t="str">
        <f t="shared" si="4"/>
        <v>-</v>
      </c>
      <c r="V15" s="655"/>
      <c r="W15" s="655"/>
    </row>
    <row r="16" spans="1:23" s="61" customFormat="1" ht="21.95" hidden="1" customHeight="1" x14ac:dyDescent="0.25">
      <c r="B16" s="117" t="s">
        <v>50</v>
      </c>
      <c r="D16" s="838"/>
      <c r="E16" s="62"/>
      <c r="F16" s="612"/>
      <c r="G16" s="612"/>
      <c r="H16" s="23"/>
      <c r="I16" s="612"/>
      <c r="J16" s="612"/>
      <c r="K16" s="476"/>
      <c r="L16" s="612"/>
      <c r="M16" s="612"/>
      <c r="N16" s="477"/>
      <c r="O16" s="474"/>
      <c r="Q16" s="46" t="str">
        <f t="shared" si="0"/>
        <v>-</v>
      </c>
      <c r="R16" s="91" t="str">
        <f t="shared" si="1"/>
        <v>-</v>
      </c>
      <c r="S16" s="47" t="str">
        <f t="shared" si="2"/>
        <v>-</v>
      </c>
      <c r="T16" s="46" t="str">
        <f t="shared" si="3"/>
        <v>-</v>
      </c>
      <c r="U16" s="47" t="str">
        <f>IFERROR(M16/G16-1,"-")</f>
        <v>-</v>
      </c>
      <c r="V16" s="655"/>
      <c r="W16" s="655"/>
    </row>
    <row r="17" spans="1:23" s="58" customFormat="1" ht="21.95" customHeight="1" x14ac:dyDescent="0.25">
      <c r="B17" s="109" t="s">
        <v>53</v>
      </c>
      <c r="D17" s="839"/>
      <c r="E17" s="59"/>
      <c r="F17" s="810"/>
      <c r="G17" s="99"/>
      <c r="H17" s="641"/>
      <c r="I17" s="475"/>
      <c r="J17" s="99"/>
      <c r="K17" s="475"/>
      <c r="L17" s="475"/>
      <c r="M17" s="99"/>
      <c r="N17" s="478"/>
      <c r="O17" s="611"/>
      <c r="P17" s="61"/>
      <c r="Q17" s="517" t="str">
        <f t="shared" si="0"/>
        <v>-</v>
      </c>
      <c r="R17" s="518" t="str">
        <f t="shared" si="1"/>
        <v>-</v>
      </c>
      <c r="S17" s="519" t="str">
        <f t="shared" si="2"/>
        <v>-</v>
      </c>
      <c r="T17" s="517" t="str">
        <f t="shared" si="3"/>
        <v>-</v>
      </c>
      <c r="U17" s="519" t="str">
        <f t="shared" si="4"/>
        <v>-</v>
      </c>
      <c r="V17" s="655"/>
      <c r="W17" s="655"/>
    </row>
    <row r="18" spans="1:23" s="58" customFormat="1" ht="6" customHeight="1" x14ac:dyDescent="0.25">
      <c r="Q18" s="493"/>
      <c r="V18" s="655"/>
      <c r="W18" s="655"/>
    </row>
    <row r="19" spans="1:23" s="58" customFormat="1" ht="21.95" customHeight="1" x14ac:dyDescent="0.25">
      <c r="B19" s="116" t="s">
        <v>54</v>
      </c>
      <c r="D19" s="837" t="s">
        <v>26</v>
      </c>
      <c r="E19" s="59"/>
      <c r="F19" s="83"/>
      <c r="G19" s="83"/>
      <c r="H19" s="23"/>
      <c r="I19" s="83"/>
      <c r="J19" s="251"/>
      <c r="K19" s="23"/>
      <c r="L19" s="83"/>
      <c r="M19" s="83"/>
      <c r="N19" s="32"/>
      <c r="O19" s="83"/>
      <c r="P19" s="105"/>
      <c r="Q19" s="464" t="str">
        <f t="shared" si="0"/>
        <v>-</v>
      </c>
      <c r="R19" s="463" t="str">
        <f t="shared" si="1"/>
        <v>-</v>
      </c>
      <c r="S19" s="465" t="str">
        <f t="shared" si="2"/>
        <v>-</v>
      </c>
      <c r="T19" s="84" t="str">
        <f t="shared" si="3"/>
        <v>-</v>
      </c>
      <c r="U19" s="86" t="str">
        <f t="shared" si="4"/>
        <v>-</v>
      </c>
      <c r="V19" s="655"/>
      <c r="W19" s="655"/>
    </row>
    <row r="20" spans="1:23" s="61" customFormat="1" ht="21.95" customHeight="1" x14ac:dyDescent="0.25">
      <c r="B20" s="109" t="s">
        <v>55</v>
      </c>
      <c r="D20" s="839"/>
      <c r="E20" s="62"/>
      <c r="F20" s="95"/>
      <c r="G20" s="95"/>
      <c r="H20" s="118"/>
      <c r="I20" s="95"/>
      <c r="J20" s="95"/>
      <c r="K20" s="26"/>
      <c r="L20" s="95"/>
      <c r="M20" s="95"/>
      <c r="N20" s="70"/>
      <c r="O20" s="95"/>
      <c r="P20" s="106"/>
      <c r="Q20" s="464" t="str">
        <f t="shared" si="0"/>
        <v>-</v>
      </c>
      <c r="R20" s="463" t="str">
        <f t="shared" si="1"/>
        <v>-</v>
      </c>
      <c r="S20" s="465" t="str">
        <f t="shared" si="2"/>
        <v>-</v>
      </c>
      <c r="T20" s="517" t="str">
        <f t="shared" si="3"/>
        <v>-</v>
      </c>
      <c r="U20" s="519" t="str">
        <f t="shared" si="4"/>
        <v>-</v>
      </c>
      <c r="V20" s="655"/>
      <c r="W20" s="655"/>
    </row>
    <row r="21" spans="1:23" ht="21.95" customHeight="1" x14ac:dyDescent="0.25">
      <c r="F21" s="480"/>
      <c r="G21" s="480"/>
      <c r="H21" s="480"/>
      <c r="I21" s="480"/>
      <c r="J21" s="480"/>
      <c r="K21" s="480"/>
      <c r="L21" s="480"/>
      <c r="M21" s="480"/>
      <c r="N21" s="480"/>
      <c r="O21" s="480"/>
      <c r="P21" s="480">
        <f>P17-[5]RPC!P17</f>
        <v>0</v>
      </c>
      <c r="Q21" s="480"/>
      <c r="R21" s="480"/>
      <c r="S21" s="480"/>
      <c r="T21" s="480"/>
      <c r="U21" s="480"/>
      <c r="V21" s="655"/>
      <c r="W21" s="655"/>
    </row>
    <row r="22" spans="1:23" s="14" customFormat="1" ht="21.95" customHeight="1" x14ac:dyDescent="0.25">
      <c r="B22" s="119" t="s">
        <v>56</v>
      </c>
      <c r="C22" s="120"/>
      <c r="D22" s="110"/>
      <c r="F22" s="17"/>
      <c r="G22" s="252"/>
      <c r="H22" s="27"/>
      <c r="I22" s="27"/>
      <c r="J22" s="27"/>
      <c r="K22" s="27"/>
      <c r="L22" s="253"/>
      <c r="M22" s="17"/>
      <c r="N22" s="17"/>
      <c r="O22" s="17"/>
      <c r="P22" s="111"/>
      <c r="Q22" s="44"/>
      <c r="R22" s="44"/>
      <c r="S22" s="44"/>
      <c r="T22" s="44"/>
      <c r="U22" s="44"/>
      <c r="V22" s="655"/>
      <c r="W22" s="655"/>
    </row>
    <row r="23" spans="1:23" s="59" customFormat="1" ht="6" customHeight="1" x14ac:dyDescent="0.25">
      <c r="F23" s="254"/>
      <c r="G23" s="254"/>
      <c r="H23" s="254"/>
      <c r="I23" s="254"/>
      <c r="J23" s="254"/>
      <c r="K23" s="2"/>
      <c r="L23" s="254"/>
      <c r="M23" s="254"/>
      <c r="N23" s="121"/>
      <c r="O23" s="75"/>
      <c r="P23" s="75"/>
      <c r="Q23" s="91"/>
      <c r="R23" s="91"/>
      <c r="S23" s="91"/>
      <c r="T23" s="91"/>
      <c r="U23" s="91"/>
      <c r="V23" s="655"/>
      <c r="W23" s="655"/>
    </row>
    <row r="24" spans="1:23" ht="21.95" customHeight="1" x14ac:dyDescent="0.25">
      <c r="A24" s="123"/>
      <c r="B24" s="552" t="s">
        <v>166</v>
      </c>
      <c r="D24" s="852" t="s">
        <v>26</v>
      </c>
      <c r="F24" s="513"/>
      <c r="G24" s="631"/>
      <c r="H24" s="32"/>
      <c r="I24" s="615"/>
      <c r="J24" s="513"/>
      <c r="K24" s="39"/>
      <c r="L24" s="513"/>
      <c r="M24" s="513"/>
      <c r="N24" s="32"/>
      <c r="O24" s="520"/>
      <c r="P24" s="42"/>
      <c r="Q24" s="84" t="str">
        <f>IFERROR(J24/I24,"-")</f>
        <v>-</v>
      </c>
      <c r="R24" s="85" t="str">
        <f t="shared" si="1"/>
        <v>-</v>
      </c>
      <c r="S24" s="86" t="str">
        <f t="shared" si="2"/>
        <v>-</v>
      </c>
      <c r="T24" s="84" t="str">
        <f t="shared" si="3"/>
        <v>-</v>
      </c>
      <c r="U24" s="86" t="str">
        <f t="shared" si="4"/>
        <v>-</v>
      </c>
      <c r="V24" s="655"/>
      <c r="W24" s="655"/>
    </row>
    <row r="25" spans="1:23" s="28" customFormat="1" ht="21.95" customHeight="1" x14ac:dyDescent="0.25">
      <c r="A25" s="123"/>
      <c r="B25" s="124" t="s">
        <v>57</v>
      </c>
      <c r="D25" s="853"/>
      <c r="E25" s="7"/>
      <c r="F25" s="30"/>
      <c r="G25" s="590"/>
      <c r="H25" s="32"/>
      <c r="I25" s="236"/>
      <c r="J25" s="30"/>
      <c r="K25" s="39"/>
      <c r="L25" s="30"/>
      <c r="M25" s="30"/>
      <c r="N25" s="32"/>
      <c r="O25" s="29"/>
      <c r="P25" s="42"/>
      <c r="Q25" s="43" t="str">
        <f t="shared" si="0"/>
        <v>-</v>
      </c>
      <c r="R25" s="44" t="str">
        <f t="shared" si="1"/>
        <v>-</v>
      </c>
      <c r="S25" s="45" t="str">
        <f t="shared" si="2"/>
        <v>-</v>
      </c>
      <c r="T25" s="43" t="str">
        <f t="shared" si="3"/>
        <v>-</v>
      </c>
      <c r="U25" s="45" t="str">
        <f t="shared" si="4"/>
        <v>-</v>
      </c>
      <c r="V25" s="655"/>
      <c r="W25" s="655"/>
    </row>
    <row r="26" spans="1:23" s="28" customFormat="1" ht="21.95" customHeight="1" x14ac:dyDescent="0.25">
      <c r="A26" s="123"/>
      <c r="B26" s="124" t="s">
        <v>58</v>
      </c>
      <c r="D26" s="853"/>
      <c r="E26" s="7"/>
      <c r="F26" s="30"/>
      <c r="G26" s="590"/>
      <c r="H26" s="32"/>
      <c r="I26" s="236"/>
      <c r="J26" s="30"/>
      <c r="K26" s="39"/>
      <c r="L26" s="30"/>
      <c r="M26" s="30"/>
      <c r="N26" s="32"/>
      <c r="O26" s="29"/>
      <c r="P26" s="42"/>
      <c r="Q26" s="43" t="str">
        <f t="shared" si="0"/>
        <v>-</v>
      </c>
      <c r="R26" s="44" t="str">
        <f t="shared" si="1"/>
        <v>-</v>
      </c>
      <c r="S26" s="45" t="str">
        <f t="shared" si="2"/>
        <v>-</v>
      </c>
      <c r="T26" s="43" t="str">
        <f t="shared" si="3"/>
        <v>-</v>
      </c>
      <c r="U26" s="45" t="str">
        <f t="shared" si="4"/>
        <v>-</v>
      </c>
      <c r="V26" s="655"/>
      <c r="W26" s="655"/>
    </row>
    <row r="27" spans="1:23" s="59" customFormat="1" ht="21.95" customHeight="1" x14ac:dyDescent="0.25">
      <c r="A27" s="123"/>
      <c r="B27" s="124" t="s">
        <v>122</v>
      </c>
      <c r="D27" s="853"/>
      <c r="F27" s="30"/>
      <c r="G27" s="590"/>
      <c r="H27" s="32"/>
      <c r="I27" s="236"/>
      <c r="J27" s="30"/>
      <c r="K27" s="39"/>
      <c r="L27" s="30"/>
      <c r="M27" s="30"/>
      <c r="N27" s="32"/>
      <c r="O27" s="29"/>
      <c r="P27" s="42"/>
      <c r="Q27" s="43" t="str">
        <f t="shared" si="0"/>
        <v>-</v>
      </c>
      <c r="R27" s="44" t="str">
        <f t="shared" si="1"/>
        <v>-</v>
      </c>
      <c r="S27" s="45" t="str">
        <f t="shared" si="2"/>
        <v>-</v>
      </c>
      <c r="T27" s="651" t="str">
        <f t="shared" si="3"/>
        <v>-</v>
      </c>
      <c r="U27" s="45" t="str">
        <f t="shared" si="4"/>
        <v>-</v>
      </c>
      <c r="V27" s="655"/>
      <c r="W27" s="655"/>
    </row>
    <row r="28" spans="1:23" ht="21.95" customHeight="1" x14ac:dyDescent="0.25">
      <c r="A28" s="123"/>
      <c r="B28" s="124" t="s">
        <v>59</v>
      </c>
      <c r="D28" s="853"/>
      <c r="F28" s="30"/>
      <c r="G28" s="590"/>
      <c r="H28" s="32"/>
      <c r="I28" s="236"/>
      <c r="J28" s="30"/>
      <c r="K28" s="39"/>
      <c r="L28" s="30"/>
      <c r="M28" s="30"/>
      <c r="N28" s="32"/>
      <c r="O28" s="29"/>
      <c r="P28" s="42"/>
      <c r="Q28" s="43" t="str">
        <f t="shared" si="0"/>
        <v>-</v>
      </c>
      <c r="R28" s="44" t="str">
        <f t="shared" si="1"/>
        <v>-</v>
      </c>
      <c r="S28" s="45" t="str">
        <f t="shared" si="2"/>
        <v>-</v>
      </c>
      <c r="T28" s="43" t="str">
        <f t="shared" si="3"/>
        <v>-</v>
      </c>
      <c r="U28" s="45" t="str">
        <f t="shared" si="4"/>
        <v>-</v>
      </c>
      <c r="V28" s="655"/>
      <c r="W28" s="655"/>
    </row>
    <row r="29" spans="1:23" s="28" customFormat="1" ht="21.95" customHeight="1" x14ac:dyDescent="0.25">
      <c r="A29" s="123"/>
      <c r="B29" s="124" t="s">
        <v>29</v>
      </c>
      <c r="D29" s="853"/>
      <c r="E29" s="7"/>
      <c r="F29" s="30"/>
      <c r="G29" s="590"/>
      <c r="H29" s="32"/>
      <c r="I29" s="236"/>
      <c r="J29" s="30"/>
      <c r="K29" s="39"/>
      <c r="L29" s="30"/>
      <c r="M29" s="30"/>
      <c r="N29" s="32"/>
      <c r="O29" s="29"/>
      <c r="P29" s="42"/>
      <c r="Q29" s="43" t="str">
        <f t="shared" si="0"/>
        <v>-</v>
      </c>
      <c r="R29" s="44" t="str">
        <f t="shared" si="1"/>
        <v>-</v>
      </c>
      <c r="S29" s="45" t="str">
        <f t="shared" si="2"/>
        <v>-</v>
      </c>
      <c r="T29" s="43" t="str">
        <f t="shared" si="3"/>
        <v>-</v>
      </c>
      <c r="U29" s="45" t="str">
        <f t="shared" si="4"/>
        <v>-</v>
      </c>
      <c r="V29" s="655"/>
      <c r="W29" s="655"/>
    </row>
    <row r="30" spans="1:23" s="28" customFormat="1" ht="21.95" customHeight="1" x14ac:dyDescent="0.25">
      <c r="A30" s="123"/>
      <c r="B30" s="124" t="s">
        <v>60</v>
      </c>
      <c r="D30" s="853"/>
      <c r="E30" s="7"/>
      <c r="F30" s="30"/>
      <c r="G30" s="590"/>
      <c r="H30" s="32"/>
      <c r="I30" s="236"/>
      <c r="J30" s="30"/>
      <c r="K30" s="39"/>
      <c r="L30" s="30"/>
      <c r="M30" s="30"/>
      <c r="N30" s="32"/>
      <c r="O30" s="29"/>
      <c r="P30" s="42"/>
      <c r="Q30" s="43" t="str">
        <f t="shared" si="0"/>
        <v>-</v>
      </c>
      <c r="R30" s="44" t="str">
        <f t="shared" si="1"/>
        <v>-</v>
      </c>
      <c r="S30" s="45" t="str">
        <f t="shared" si="2"/>
        <v>-</v>
      </c>
      <c r="T30" s="43" t="str">
        <f t="shared" si="3"/>
        <v>-</v>
      </c>
      <c r="U30" s="45" t="str">
        <f t="shared" si="4"/>
        <v>-</v>
      </c>
      <c r="V30" s="655"/>
      <c r="W30" s="655"/>
    </row>
    <row r="31" spans="1:23" s="28" customFormat="1" ht="21.95" customHeight="1" x14ac:dyDescent="0.25">
      <c r="A31" s="123"/>
      <c r="B31" s="124" t="s">
        <v>61</v>
      </c>
      <c r="D31" s="853"/>
      <c r="E31" s="7"/>
      <c r="F31" s="799"/>
      <c r="G31" s="590"/>
      <c r="H31" s="32"/>
      <c r="I31" s="236"/>
      <c r="J31" s="30"/>
      <c r="K31" s="39"/>
      <c r="L31" s="30"/>
      <c r="M31" s="481"/>
      <c r="N31" s="32"/>
      <c r="O31" s="29"/>
      <c r="P31" s="42"/>
      <c r="Q31" s="43" t="str">
        <f t="shared" si="0"/>
        <v>-</v>
      </c>
      <c r="R31" s="44" t="str">
        <f t="shared" si="1"/>
        <v>-</v>
      </c>
      <c r="S31" s="45" t="str">
        <f t="shared" si="2"/>
        <v>-</v>
      </c>
      <c r="T31" s="565" t="str">
        <f t="shared" si="3"/>
        <v>-</v>
      </c>
      <c r="U31" s="570" t="str">
        <f t="shared" si="4"/>
        <v>-</v>
      </c>
      <c r="V31" s="655"/>
      <c r="W31" s="655"/>
    </row>
    <row r="32" spans="1:23" ht="21.95" customHeight="1" x14ac:dyDescent="0.25">
      <c r="A32" s="123"/>
      <c r="B32" s="125" t="s">
        <v>123</v>
      </c>
      <c r="D32" s="853"/>
      <c r="F32" s="481"/>
      <c r="G32" s="590"/>
      <c r="H32" s="32"/>
      <c r="I32" s="799"/>
      <c r="J32" s="30"/>
      <c r="K32" s="39"/>
      <c r="L32" s="30"/>
      <c r="M32" s="30"/>
      <c r="N32" s="32"/>
      <c r="O32" s="29"/>
      <c r="P32" s="42"/>
      <c r="Q32" s="43" t="str">
        <f t="shared" si="0"/>
        <v>-</v>
      </c>
      <c r="R32" s="44" t="str">
        <f t="shared" si="1"/>
        <v>-</v>
      </c>
      <c r="S32" s="45" t="str">
        <f t="shared" si="2"/>
        <v>-</v>
      </c>
      <c r="T32" s="43" t="str">
        <f t="shared" si="3"/>
        <v>-</v>
      </c>
      <c r="U32" s="45" t="str">
        <f t="shared" si="4"/>
        <v>-</v>
      </c>
      <c r="V32" s="655"/>
      <c r="W32" s="655"/>
    </row>
    <row r="33" spans="1:23" ht="21.95" hidden="1" customHeight="1" x14ac:dyDescent="0.25">
      <c r="A33" s="123"/>
      <c r="B33" s="125" t="s">
        <v>124</v>
      </c>
      <c r="D33" s="853"/>
      <c r="F33" s="511"/>
      <c r="G33" s="632"/>
      <c r="H33" s="511"/>
      <c r="I33" s="543"/>
      <c r="J33" s="511"/>
      <c r="K33" s="39"/>
      <c r="L33" s="511"/>
      <c r="M33" s="511"/>
      <c r="N33" s="32"/>
      <c r="O33" s="511"/>
      <c r="P33" s="42"/>
      <c r="Q33" s="43" t="str">
        <f t="shared" si="0"/>
        <v>-</v>
      </c>
      <c r="R33" s="44" t="str">
        <f t="shared" si="1"/>
        <v>-</v>
      </c>
      <c r="S33" s="45" t="str">
        <f t="shared" si="2"/>
        <v>-</v>
      </c>
      <c r="T33" s="43" t="str">
        <f t="shared" si="3"/>
        <v>-</v>
      </c>
      <c r="U33" s="566" t="str">
        <f t="shared" si="4"/>
        <v>-</v>
      </c>
      <c r="V33" s="655"/>
      <c r="W33" s="655"/>
    </row>
    <row r="34" spans="1:23" ht="21.95" hidden="1" customHeight="1" x14ac:dyDescent="0.25">
      <c r="A34" s="123"/>
      <c r="B34" s="125" t="s">
        <v>165</v>
      </c>
      <c r="D34" s="853"/>
      <c r="F34" s="511"/>
      <c r="G34" s="632"/>
      <c r="H34" s="32"/>
      <c r="I34" s="543"/>
      <c r="J34" s="511"/>
      <c r="K34" s="39"/>
      <c r="L34" s="511"/>
      <c r="M34" s="511"/>
      <c r="N34" s="32"/>
      <c r="O34" s="511"/>
      <c r="P34" s="42"/>
      <c r="Q34" s="43" t="str">
        <f t="shared" ref="Q34" si="5">IFERROR(J34/I34,"-")</f>
        <v>-</v>
      </c>
      <c r="R34" s="44" t="str">
        <f t="shared" ref="R34" si="6">IFERROR(M34/L34,"-")</f>
        <v>-</v>
      </c>
      <c r="S34" s="45" t="str">
        <f t="shared" ref="S34" si="7">IFERROR(M34/O34,"-")</f>
        <v>-</v>
      </c>
      <c r="T34" s="43" t="str">
        <f t="shared" ref="T34" si="8">IFERROR(J34/F34-1,"-")</f>
        <v>-</v>
      </c>
      <c r="U34" s="45" t="str">
        <f t="shared" ref="U34" si="9">IFERROR(M34/G34-1,"-")</f>
        <v>-</v>
      </c>
      <c r="V34" s="655"/>
      <c r="W34" s="655"/>
    </row>
    <row r="35" spans="1:23" ht="21.95" customHeight="1" x14ac:dyDescent="0.25">
      <c r="A35" s="123"/>
      <c r="B35" s="125" t="s">
        <v>172</v>
      </c>
      <c r="D35" s="853"/>
      <c r="F35" s="250"/>
      <c r="G35" s="590"/>
      <c r="H35" s="32"/>
      <c r="I35" s="236"/>
      <c r="J35" s="250"/>
      <c r="K35" s="39"/>
      <c r="L35" s="30"/>
      <c r="M35" s="30"/>
      <c r="N35" s="32"/>
      <c r="O35" s="33"/>
      <c r="P35" s="42"/>
      <c r="Q35" s="43" t="str">
        <f t="shared" ref="Q35" si="10">IFERROR(J35/I35,"-")</f>
        <v>-</v>
      </c>
      <c r="R35" s="44" t="str">
        <f t="shared" ref="R35" si="11">IFERROR(M35/L35,"-")</f>
        <v>-</v>
      </c>
      <c r="S35" s="45" t="str">
        <f t="shared" ref="S35" si="12">IFERROR(M35/O35,"-")</f>
        <v>-</v>
      </c>
      <c r="T35" s="43" t="str">
        <f t="shared" ref="T35" si="13">IFERROR(J35/F35-1,"-")</f>
        <v>-</v>
      </c>
      <c r="U35" s="45" t="str">
        <f t="shared" ref="U35" si="14">IFERROR(M35/G35-1,"-")</f>
        <v>-</v>
      </c>
      <c r="V35" s="655"/>
      <c r="W35" s="655"/>
    </row>
    <row r="36" spans="1:23" s="58" customFormat="1" ht="21.95" customHeight="1" x14ac:dyDescent="0.25">
      <c r="B36" s="132" t="s">
        <v>62</v>
      </c>
      <c r="D36" s="854"/>
      <c r="E36" s="59"/>
      <c r="F36" s="583"/>
      <c r="G36" s="95"/>
      <c r="H36" s="32"/>
      <c r="I36" s="95"/>
      <c r="J36" s="583"/>
      <c r="K36" s="35"/>
      <c r="L36" s="95"/>
      <c r="M36" s="95"/>
      <c r="N36" s="35"/>
      <c r="O36" s="95"/>
      <c r="Q36" s="464" t="str">
        <f t="shared" si="0"/>
        <v>-</v>
      </c>
      <c r="R36" s="463" t="str">
        <f t="shared" si="1"/>
        <v>-</v>
      </c>
      <c r="S36" s="465" t="str">
        <f t="shared" si="2"/>
        <v>-</v>
      </c>
      <c r="T36" s="464" t="str">
        <f t="shared" si="3"/>
        <v>-</v>
      </c>
      <c r="U36" s="465" t="str">
        <f t="shared" si="4"/>
        <v>-</v>
      </c>
      <c r="V36" s="655"/>
      <c r="W36" s="655"/>
    </row>
    <row r="37" spans="1:23" ht="21.95" customHeight="1" x14ac:dyDescent="0.25">
      <c r="B37" s="48"/>
      <c r="D37" s="48"/>
      <c r="E37" s="48"/>
      <c r="F37" s="146"/>
      <c r="G37" s="146"/>
      <c r="H37" s="146"/>
      <c r="I37" s="146"/>
      <c r="J37" s="146"/>
      <c r="K37" s="146"/>
      <c r="L37" s="146"/>
      <c r="M37" s="146"/>
      <c r="N37" s="146"/>
      <c r="O37" s="146"/>
    </row>
    <row r="38" spans="1:23" ht="21.95" customHeight="1" x14ac:dyDescent="0.25">
      <c r="B38" s="48"/>
      <c r="D38" s="48"/>
      <c r="E38" s="48"/>
      <c r="F38" s="146"/>
      <c r="G38" s="146"/>
      <c r="H38" s="146"/>
      <c r="I38" s="146"/>
      <c r="J38" s="146"/>
      <c r="K38" s="146"/>
      <c r="L38" s="146"/>
      <c r="M38" s="146"/>
      <c r="N38" s="146"/>
      <c r="O38" s="146"/>
      <c r="P38" s="146"/>
      <c r="Q38" s="146"/>
    </row>
    <row r="39" spans="1:23" ht="21.95" customHeight="1" x14ac:dyDescent="0.25">
      <c r="B39" s="48"/>
      <c r="D39" s="48"/>
      <c r="E39" s="48"/>
      <c r="F39" s="146"/>
      <c r="G39" s="146"/>
      <c r="H39" s="146"/>
      <c r="I39" s="146"/>
      <c r="J39" s="146"/>
      <c r="K39" s="146"/>
      <c r="L39" s="656"/>
      <c r="M39" s="146"/>
      <c r="N39" s="146"/>
      <c r="O39" s="146"/>
    </row>
    <row r="40" spans="1:23" ht="21.95" customHeight="1" x14ac:dyDescent="0.25">
      <c r="B40" s="48"/>
      <c r="D40" s="48"/>
      <c r="E40" s="48"/>
      <c r="F40" s="146"/>
      <c r="G40" s="146"/>
      <c r="H40" s="146"/>
      <c r="I40" s="146"/>
      <c r="J40" s="146"/>
      <c r="K40" s="146"/>
      <c r="L40" s="656"/>
      <c r="M40" s="146"/>
      <c r="N40" s="146"/>
      <c r="O40" s="146"/>
    </row>
    <row r="41" spans="1:23" ht="21.95" customHeight="1" x14ac:dyDescent="0.25">
      <c r="B41" s="48"/>
      <c r="D41" s="48"/>
      <c r="E41" s="48"/>
      <c r="F41" s="146"/>
      <c r="G41" s="146"/>
      <c r="H41" s="146"/>
      <c r="I41" s="146"/>
      <c r="J41" s="146"/>
      <c r="K41" s="146"/>
      <c r="L41" s="656"/>
      <c r="M41" s="146"/>
      <c r="N41" s="146"/>
      <c r="O41" s="146"/>
    </row>
    <row r="42" spans="1:23" ht="21.95" customHeight="1" x14ac:dyDescent="0.25">
      <c r="B42" s="48"/>
      <c r="D42" s="48"/>
      <c r="E42" s="48"/>
      <c r="F42" s="146"/>
      <c r="G42" s="146"/>
      <c r="H42" s="146"/>
      <c r="I42" s="146"/>
      <c r="J42" s="146"/>
      <c r="K42" s="146"/>
      <c r="L42" s="656"/>
      <c r="M42" s="146"/>
      <c r="N42" s="146"/>
      <c r="O42" s="146"/>
    </row>
    <row r="43" spans="1:23" x14ac:dyDescent="0.25">
      <c r="B43" s="48"/>
      <c r="D43" s="48"/>
      <c r="E43" s="48"/>
      <c r="F43" s="146"/>
      <c r="G43" s="146"/>
      <c r="H43" s="146"/>
      <c r="I43" s="146"/>
      <c r="J43" s="146"/>
      <c r="K43" s="146"/>
      <c r="L43" s="656"/>
      <c r="M43" s="146"/>
      <c r="N43" s="146"/>
      <c r="O43" s="146"/>
    </row>
    <row r="44" spans="1:23" x14ac:dyDescent="0.25">
      <c r="B44" s="48"/>
      <c r="D44" s="48"/>
      <c r="E44" s="48"/>
      <c r="F44" s="146"/>
      <c r="G44" s="146"/>
      <c r="H44" s="146"/>
      <c r="I44" s="146"/>
      <c r="J44" s="146"/>
      <c r="K44" s="146"/>
      <c r="L44" s="656"/>
      <c r="M44" s="146"/>
      <c r="N44" s="146"/>
      <c r="O44" s="146"/>
      <c r="P44" s="146"/>
      <c r="Q44" s="146"/>
    </row>
    <row r="45" spans="1:23" x14ac:dyDescent="0.25">
      <c r="B45" s="48"/>
      <c r="D45" s="48"/>
      <c r="E45" s="48"/>
      <c r="F45" s="146"/>
      <c r="G45" s="146"/>
      <c r="H45" s="146"/>
      <c r="I45" s="146"/>
      <c r="J45" s="146"/>
      <c r="K45" s="146"/>
      <c r="L45" s="146"/>
      <c r="M45" s="146"/>
      <c r="N45" s="146"/>
      <c r="O45" s="146"/>
    </row>
    <row r="46" spans="1:23" x14ac:dyDescent="0.25">
      <c r="B46" s="48"/>
      <c r="D46" s="48"/>
      <c r="E46" s="48"/>
      <c r="F46" s="146"/>
      <c r="G46" s="146"/>
      <c r="H46" s="146"/>
      <c r="I46" s="146"/>
      <c r="J46" s="146"/>
      <c r="K46" s="146"/>
      <c r="L46" s="146"/>
      <c r="M46" s="146"/>
      <c r="N46" s="146"/>
      <c r="O46" s="146"/>
    </row>
    <row r="47" spans="1:23" x14ac:dyDescent="0.25">
      <c r="B47" s="48"/>
      <c r="D47" s="48"/>
      <c r="E47" s="48"/>
      <c r="F47" s="146"/>
      <c r="G47" s="146"/>
      <c r="H47" s="146"/>
      <c r="I47" s="146"/>
      <c r="J47" s="146"/>
      <c r="K47" s="146"/>
      <c r="L47" s="146"/>
      <c r="M47" s="146"/>
      <c r="N47" s="146"/>
      <c r="O47" s="146"/>
    </row>
    <row r="48" spans="1:23" x14ac:dyDescent="0.25">
      <c r="B48" s="48"/>
      <c r="D48" s="48"/>
      <c r="E48" s="48"/>
      <c r="F48" s="146"/>
      <c r="G48" s="146"/>
      <c r="H48" s="146"/>
      <c r="I48" s="146"/>
      <c r="J48" s="146"/>
      <c r="K48" s="146"/>
      <c r="L48" s="146"/>
      <c r="M48" s="146"/>
      <c r="N48" s="146"/>
      <c r="O48" s="146"/>
    </row>
    <row r="49" spans="2:16" x14ac:dyDescent="0.25">
      <c r="B49" s="48"/>
      <c r="D49" s="48"/>
      <c r="E49" s="48"/>
      <c r="F49" s="146"/>
      <c r="G49" s="146"/>
      <c r="H49" s="146"/>
      <c r="I49" s="146"/>
      <c r="J49" s="146"/>
      <c r="K49" s="146"/>
      <c r="L49" s="146"/>
      <c r="M49" s="146"/>
      <c r="N49" s="146"/>
      <c r="O49" s="146"/>
    </row>
    <row r="50" spans="2:16" x14ac:dyDescent="0.25">
      <c r="B50" s="48"/>
      <c r="D50" s="48"/>
      <c r="E50" s="48"/>
      <c r="F50" s="146"/>
      <c r="G50" s="146"/>
      <c r="H50" s="146"/>
      <c r="I50" s="146"/>
      <c r="J50" s="146"/>
      <c r="K50" s="146"/>
      <c r="L50" s="146"/>
      <c r="M50" s="146"/>
      <c r="N50" s="146"/>
      <c r="O50" s="146"/>
    </row>
    <row r="51" spans="2:16" x14ac:dyDescent="0.25">
      <c r="B51" s="48"/>
      <c r="D51" s="48"/>
      <c r="E51" s="48"/>
      <c r="F51" s="146"/>
      <c r="G51" s="146"/>
      <c r="H51" s="146"/>
      <c r="I51" s="146"/>
      <c r="J51" s="146"/>
      <c r="K51" s="146"/>
      <c r="L51" s="146"/>
      <c r="M51" s="146"/>
      <c r="N51" s="146"/>
      <c r="O51" s="146"/>
    </row>
    <row r="52" spans="2:16" x14ac:dyDescent="0.25">
      <c r="F52" s="146"/>
      <c r="G52" s="146"/>
      <c r="H52" s="146"/>
      <c r="I52" s="146"/>
      <c r="J52" s="146"/>
      <c r="K52" s="146"/>
      <c r="L52" s="146"/>
      <c r="M52" s="146"/>
      <c r="N52" s="146"/>
      <c r="O52" s="146"/>
    </row>
    <row r="53" spans="2:16" x14ac:dyDescent="0.25">
      <c r="F53" s="146"/>
      <c r="G53" s="146"/>
      <c r="H53" s="146"/>
      <c r="I53" s="146"/>
      <c r="J53" s="146"/>
      <c r="K53" s="146"/>
      <c r="L53" s="146"/>
      <c r="M53" s="146"/>
      <c r="N53" s="146"/>
      <c r="O53" s="146"/>
      <c r="P53" s="146"/>
    </row>
    <row r="54" spans="2:16" x14ac:dyDescent="0.25">
      <c r="F54" s="146"/>
      <c r="G54" s="146"/>
      <c r="H54" s="146"/>
      <c r="I54" s="146"/>
      <c r="J54" s="146"/>
      <c r="K54" s="146"/>
      <c r="L54" s="146"/>
      <c r="M54" s="146"/>
      <c r="N54" s="146"/>
      <c r="O54" s="146"/>
      <c r="P54" s="146"/>
    </row>
    <row r="55" spans="2:16" x14ac:dyDescent="0.25">
      <c r="F55" s="146"/>
      <c r="G55" s="146"/>
      <c r="H55" s="146"/>
      <c r="I55" s="146"/>
      <c r="J55" s="146"/>
      <c r="K55" s="146"/>
      <c r="L55" s="146"/>
      <c r="M55" s="146"/>
      <c r="N55" s="146"/>
      <c r="O55" s="146"/>
    </row>
    <row r="56" spans="2:16" x14ac:dyDescent="0.25">
      <c r="F56" s="146"/>
      <c r="G56" s="146"/>
      <c r="H56" s="146"/>
      <c r="I56" s="146"/>
      <c r="J56" s="146"/>
      <c r="K56" s="146"/>
      <c r="L56" s="146"/>
      <c r="M56" s="146"/>
      <c r="N56" s="146"/>
      <c r="O56" s="146"/>
    </row>
    <row r="57" spans="2:16" x14ac:dyDescent="0.25">
      <c r="F57" s="146"/>
      <c r="G57" s="146"/>
      <c r="H57" s="146"/>
      <c r="I57" s="146"/>
      <c r="J57" s="146"/>
      <c r="K57" s="146"/>
      <c r="L57" s="146"/>
      <c r="M57" s="146"/>
      <c r="N57" s="146"/>
      <c r="O57" s="146"/>
    </row>
    <row r="58" spans="2:16" x14ac:dyDescent="0.25">
      <c r="F58" s="146"/>
      <c r="G58" s="146"/>
      <c r="H58" s="146"/>
      <c r="I58" s="146"/>
      <c r="J58" s="146"/>
      <c r="K58" s="146"/>
      <c r="L58" s="146"/>
      <c r="M58" s="146"/>
      <c r="N58" s="146"/>
      <c r="O58" s="146"/>
    </row>
    <row r="59" spans="2:16" x14ac:dyDescent="0.25">
      <c r="F59" s="146"/>
      <c r="G59" s="146"/>
      <c r="H59" s="146"/>
      <c r="I59" s="146"/>
      <c r="J59" s="146"/>
      <c r="K59" s="146"/>
      <c r="L59" s="146"/>
      <c r="M59" s="146"/>
      <c r="N59" s="146"/>
      <c r="O59" s="146"/>
    </row>
    <row r="60" spans="2:16" x14ac:dyDescent="0.25">
      <c r="F60" s="146"/>
      <c r="G60" s="146"/>
      <c r="H60" s="146"/>
      <c r="I60" s="146"/>
      <c r="J60" s="146"/>
      <c r="K60" s="146"/>
      <c r="L60" s="146"/>
      <c r="M60" s="146"/>
      <c r="N60" s="146"/>
      <c r="O60" s="146"/>
    </row>
    <row r="61" spans="2:16" x14ac:dyDescent="0.25">
      <c r="F61" s="146"/>
      <c r="G61" s="146"/>
      <c r="H61" s="146"/>
      <c r="I61" s="146"/>
      <c r="J61" s="146"/>
      <c r="K61" s="146"/>
      <c r="L61" s="146"/>
      <c r="M61" s="146"/>
      <c r="N61" s="146"/>
      <c r="O61" s="146"/>
    </row>
    <row r="62" spans="2:16" x14ac:dyDescent="0.25">
      <c r="F62" s="146"/>
      <c r="G62" s="146"/>
      <c r="H62" s="146"/>
      <c r="I62" s="146"/>
      <c r="J62" s="146"/>
      <c r="K62" s="146"/>
      <c r="L62" s="146"/>
      <c r="M62" s="146"/>
      <c r="N62" s="146"/>
      <c r="O62" s="146"/>
    </row>
    <row r="63" spans="2:16" x14ac:dyDescent="0.25">
      <c r="F63" s="146"/>
      <c r="G63" s="146"/>
      <c r="H63" s="146"/>
      <c r="I63" s="146"/>
      <c r="J63" s="146"/>
      <c r="K63" s="146"/>
      <c r="L63" s="146"/>
      <c r="M63" s="146"/>
      <c r="N63" s="146"/>
      <c r="O63" s="146"/>
    </row>
    <row r="64" spans="2:16" x14ac:dyDescent="0.25">
      <c r="F64" s="146"/>
      <c r="G64" s="146"/>
      <c r="H64" s="146"/>
      <c r="I64" s="146"/>
      <c r="J64" s="146"/>
      <c r="K64" s="146"/>
      <c r="L64" s="146"/>
      <c r="M64" s="146"/>
      <c r="N64" s="146"/>
      <c r="O64" s="146"/>
    </row>
    <row r="65" spans="6:15" x14ac:dyDescent="0.25">
      <c r="F65" s="146"/>
      <c r="G65" s="146"/>
      <c r="H65" s="146"/>
      <c r="I65" s="146"/>
      <c r="J65" s="146"/>
      <c r="K65" s="146"/>
      <c r="L65" s="146"/>
      <c r="M65" s="146"/>
      <c r="N65" s="146"/>
      <c r="O65" s="146"/>
    </row>
    <row r="66" spans="6:15" x14ac:dyDescent="0.25">
      <c r="F66" s="146"/>
      <c r="G66" s="146"/>
      <c r="H66" s="146"/>
      <c r="I66" s="146"/>
      <c r="J66" s="146"/>
      <c r="K66" s="146"/>
      <c r="L66" s="146"/>
      <c r="M66" s="146"/>
      <c r="N66" s="146"/>
      <c r="O66" s="146"/>
    </row>
    <row r="67" spans="6:15" x14ac:dyDescent="0.25">
      <c r="F67" s="146"/>
      <c r="G67" s="146"/>
      <c r="H67" s="146"/>
      <c r="I67" s="146"/>
      <c r="J67" s="146"/>
      <c r="K67" s="146"/>
      <c r="L67" s="146"/>
      <c r="M67" s="146"/>
      <c r="N67" s="146"/>
      <c r="O67" s="146"/>
    </row>
    <row r="68" spans="6:15" x14ac:dyDescent="0.25">
      <c r="F68" s="146"/>
      <c r="G68" s="146"/>
      <c r="H68" s="146"/>
      <c r="I68" s="146"/>
      <c r="J68" s="146"/>
      <c r="K68" s="146"/>
      <c r="L68" s="146"/>
      <c r="M68" s="146"/>
      <c r="N68" s="146"/>
      <c r="O68" s="146"/>
    </row>
    <row r="69" spans="6:15" x14ac:dyDescent="0.25">
      <c r="F69" s="146"/>
    </row>
    <row r="70" spans="6:15" x14ac:dyDescent="0.25">
      <c r="F70" s="146"/>
    </row>
  </sheetData>
  <mergeCells count="11">
    <mergeCell ref="D8:D13"/>
    <mergeCell ref="D15:D17"/>
    <mergeCell ref="D19:D20"/>
    <mergeCell ref="D24:D36"/>
    <mergeCell ref="B2:U2"/>
    <mergeCell ref="F4:G4"/>
    <mergeCell ref="I4:J4"/>
    <mergeCell ref="L4:M4"/>
    <mergeCell ref="Q4:U4"/>
    <mergeCell ref="Q5:S5"/>
    <mergeCell ref="T5:U5"/>
  </mergeCell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71" orientation="landscape" r:id="rId1"/>
  <headerFooter>
    <oddFooter>&amp;LDCP SPE&amp;R&amp;P</oddFooter>
  </headerFooter>
  <customProperties>
    <customPr name="EpmWorksheetKeyString_GUID" r:id="rId2"/>
  </customProperties>
  <ignoredErrors>
    <ignoredError sqref="F6:O6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2:AE55"/>
  <sheetViews>
    <sheetView showGridLines="0" view="pageBreakPreview" zoomScale="85" zoomScaleNormal="80" zoomScaleSheetLayoutView="85" workbookViewId="0">
      <selection activeCell="F7" sqref="F7:O29"/>
    </sheetView>
  </sheetViews>
  <sheetFormatPr baseColWidth="10" defaultRowHeight="14.25" x14ac:dyDescent="0.25"/>
  <cols>
    <col min="1" max="1" width="4" style="255" customWidth="1"/>
    <col min="2" max="2" width="32.5703125" style="427" bestFit="1" customWidth="1"/>
    <col min="3" max="3" width="0.85546875" style="255" customWidth="1"/>
    <col min="4" max="4" width="10.7109375" style="428" customWidth="1"/>
    <col min="5" max="5" width="0.85546875" style="428" customWidth="1"/>
    <col min="6" max="7" width="15.7109375" style="428" customWidth="1"/>
    <col min="8" max="8" width="0.85546875" style="255" customWidth="1"/>
    <col min="9" max="10" width="15.7109375" style="255" customWidth="1"/>
    <col min="11" max="11" width="0.85546875" style="255" customWidth="1"/>
    <col min="12" max="13" width="15.7109375" style="255" customWidth="1"/>
    <col min="14" max="14" width="0.85546875" style="255" customWidth="1"/>
    <col min="15" max="15" width="15.7109375" style="255" customWidth="1"/>
    <col min="16" max="16" width="0.85546875" style="255" customWidth="1"/>
    <col min="17" max="19" width="7.7109375" style="255" customWidth="1"/>
    <col min="20" max="20" width="21.140625" style="255" customWidth="1"/>
    <col min="21" max="21" width="7.7109375" style="255" customWidth="1"/>
    <col min="22" max="218" width="11.42578125" style="255"/>
    <col min="219" max="219" width="4" style="255" customWidth="1"/>
    <col min="220" max="220" width="32.5703125" style="255" bestFit="1" customWidth="1"/>
    <col min="221" max="221" width="0.85546875" style="255" customWidth="1"/>
    <col min="222" max="222" width="10.7109375" style="255" customWidth="1"/>
    <col min="223" max="223" width="0.85546875" style="255" customWidth="1"/>
    <col min="224" max="225" width="15.7109375" style="255" customWidth="1"/>
    <col min="226" max="226" width="0.85546875" style="255" customWidth="1"/>
    <col min="227" max="228" width="15.7109375" style="255" customWidth="1"/>
    <col min="229" max="229" width="0.85546875" style="255" customWidth="1"/>
    <col min="230" max="231" width="15.7109375" style="255" customWidth="1"/>
    <col min="232" max="232" width="0.85546875" style="255" customWidth="1"/>
    <col min="233" max="233" width="15.7109375" style="255" customWidth="1"/>
    <col min="234" max="234" width="0.85546875" style="255" customWidth="1"/>
    <col min="235" max="238" width="10.7109375" style="255" customWidth="1"/>
    <col min="239" max="241" width="11.42578125" style="255"/>
    <col min="242" max="242" width="11.85546875" style="255" bestFit="1" customWidth="1"/>
    <col min="243" max="474" width="11.42578125" style="255"/>
    <col min="475" max="475" width="4" style="255" customWidth="1"/>
    <col min="476" max="476" width="32.5703125" style="255" bestFit="1" customWidth="1"/>
    <col min="477" max="477" width="0.85546875" style="255" customWidth="1"/>
    <col min="478" max="478" width="10.7109375" style="255" customWidth="1"/>
    <col min="479" max="479" width="0.85546875" style="255" customWidth="1"/>
    <col min="480" max="481" width="15.7109375" style="255" customWidth="1"/>
    <col min="482" max="482" width="0.85546875" style="255" customWidth="1"/>
    <col min="483" max="484" width="15.7109375" style="255" customWidth="1"/>
    <col min="485" max="485" width="0.85546875" style="255" customWidth="1"/>
    <col min="486" max="487" width="15.7109375" style="255" customWidth="1"/>
    <col min="488" max="488" width="0.85546875" style="255" customWidth="1"/>
    <col min="489" max="489" width="15.7109375" style="255" customWidth="1"/>
    <col min="490" max="490" width="0.85546875" style="255" customWidth="1"/>
    <col min="491" max="494" width="10.7109375" style="255" customWidth="1"/>
    <col min="495" max="497" width="11.42578125" style="255"/>
    <col min="498" max="498" width="11.85546875" style="255" bestFit="1" customWidth="1"/>
    <col min="499" max="730" width="11.42578125" style="255"/>
    <col min="731" max="731" width="4" style="255" customWidth="1"/>
    <col min="732" max="732" width="32.5703125" style="255" bestFit="1" customWidth="1"/>
    <col min="733" max="733" width="0.85546875" style="255" customWidth="1"/>
    <col min="734" max="734" width="10.7109375" style="255" customWidth="1"/>
    <col min="735" max="735" width="0.85546875" style="255" customWidth="1"/>
    <col min="736" max="737" width="15.7109375" style="255" customWidth="1"/>
    <col min="738" max="738" width="0.85546875" style="255" customWidth="1"/>
    <col min="739" max="740" width="15.7109375" style="255" customWidth="1"/>
    <col min="741" max="741" width="0.85546875" style="255" customWidth="1"/>
    <col min="742" max="743" width="15.7109375" style="255" customWidth="1"/>
    <col min="744" max="744" width="0.85546875" style="255" customWidth="1"/>
    <col min="745" max="745" width="15.7109375" style="255" customWidth="1"/>
    <col min="746" max="746" width="0.85546875" style="255" customWidth="1"/>
    <col min="747" max="750" width="10.7109375" style="255" customWidth="1"/>
    <col min="751" max="753" width="11.42578125" style="255"/>
    <col min="754" max="754" width="11.85546875" style="255" bestFit="1" customWidth="1"/>
    <col min="755" max="986" width="11.42578125" style="255"/>
    <col min="987" max="987" width="4" style="255" customWidth="1"/>
    <col min="988" max="988" width="32.5703125" style="255" bestFit="1" customWidth="1"/>
    <col min="989" max="989" width="0.85546875" style="255" customWidth="1"/>
    <col min="990" max="990" width="10.7109375" style="255" customWidth="1"/>
    <col min="991" max="991" width="0.85546875" style="255" customWidth="1"/>
    <col min="992" max="993" width="15.7109375" style="255" customWidth="1"/>
    <col min="994" max="994" width="0.85546875" style="255" customWidth="1"/>
    <col min="995" max="996" width="15.7109375" style="255" customWidth="1"/>
    <col min="997" max="997" width="0.85546875" style="255" customWidth="1"/>
    <col min="998" max="999" width="15.7109375" style="255" customWidth="1"/>
    <col min="1000" max="1000" width="0.85546875" style="255" customWidth="1"/>
    <col min="1001" max="1001" width="15.7109375" style="255" customWidth="1"/>
    <col min="1002" max="1002" width="0.85546875" style="255" customWidth="1"/>
    <col min="1003" max="1006" width="10.7109375" style="255" customWidth="1"/>
    <col min="1007" max="1009" width="11.42578125" style="255"/>
    <col min="1010" max="1010" width="11.85546875" style="255" bestFit="1" customWidth="1"/>
    <col min="1011" max="1242" width="11.42578125" style="255"/>
    <col min="1243" max="1243" width="4" style="255" customWidth="1"/>
    <col min="1244" max="1244" width="32.5703125" style="255" bestFit="1" customWidth="1"/>
    <col min="1245" max="1245" width="0.85546875" style="255" customWidth="1"/>
    <col min="1246" max="1246" width="10.7109375" style="255" customWidth="1"/>
    <col min="1247" max="1247" width="0.85546875" style="255" customWidth="1"/>
    <col min="1248" max="1249" width="15.7109375" style="255" customWidth="1"/>
    <col min="1250" max="1250" width="0.85546875" style="255" customWidth="1"/>
    <col min="1251" max="1252" width="15.7109375" style="255" customWidth="1"/>
    <col min="1253" max="1253" width="0.85546875" style="255" customWidth="1"/>
    <col min="1254" max="1255" width="15.7109375" style="255" customWidth="1"/>
    <col min="1256" max="1256" width="0.85546875" style="255" customWidth="1"/>
    <col min="1257" max="1257" width="15.7109375" style="255" customWidth="1"/>
    <col min="1258" max="1258" width="0.85546875" style="255" customWidth="1"/>
    <col min="1259" max="1262" width="10.7109375" style="255" customWidth="1"/>
    <col min="1263" max="1265" width="11.42578125" style="255"/>
    <col min="1266" max="1266" width="11.85546875" style="255" bestFit="1" customWidth="1"/>
    <col min="1267" max="1498" width="11.42578125" style="255"/>
    <col min="1499" max="1499" width="4" style="255" customWidth="1"/>
    <col min="1500" max="1500" width="32.5703125" style="255" bestFit="1" customWidth="1"/>
    <col min="1501" max="1501" width="0.85546875" style="255" customWidth="1"/>
    <col min="1502" max="1502" width="10.7109375" style="255" customWidth="1"/>
    <col min="1503" max="1503" width="0.85546875" style="255" customWidth="1"/>
    <col min="1504" max="1505" width="15.7109375" style="255" customWidth="1"/>
    <col min="1506" max="1506" width="0.85546875" style="255" customWidth="1"/>
    <col min="1507" max="1508" width="15.7109375" style="255" customWidth="1"/>
    <col min="1509" max="1509" width="0.85546875" style="255" customWidth="1"/>
    <col min="1510" max="1511" width="15.7109375" style="255" customWidth="1"/>
    <col min="1512" max="1512" width="0.85546875" style="255" customWidth="1"/>
    <col min="1513" max="1513" width="15.7109375" style="255" customWidth="1"/>
    <col min="1514" max="1514" width="0.85546875" style="255" customWidth="1"/>
    <col min="1515" max="1518" width="10.7109375" style="255" customWidth="1"/>
    <col min="1519" max="1521" width="11.42578125" style="255"/>
    <col min="1522" max="1522" width="11.85546875" style="255" bestFit="1" customWidth="1"/>
    <col min="1523" max="1754" width="11.42578125" style="255"/>
    <col min="1755" max="1755" width="4" style="255" customWidth="1"/>
    <col min="1756" max="1756" width="32.5703125" style="255" bestFit="1" customWidth="1"/>
    <col min="1757" max="1757" width="0.85546875" style="255" customWidth="1"/>
    <col min="1758" max="1758" width="10.7109375" style="255" customWidth="1"/>
    <col min="1759" max="1759" width="0.85546875" style="255" customWidth="1"/>
    <col min="1760" max="1761" width="15.7109375" style="255" customWidth="1"/>
    <col min="1762" max="1762" width="0.85546875" style="255" customWidth="1"/>
    <col min="1763" max="1764" width="15.7109375" style="255" customWidth="1"/>
    <col min="1765" max="1765" width="0.85546875" style="255" customWidth="1"/>
    <col min="1766" max="1767" width="15.7109375" style="255" customWidth="1"/>
    <col min="1768" max="1768" width="0.85546875" style="255" customWidth="1"/>
    <col min="1769" max="1769" width="15.7109375" style="255" customWidth="1"/>
    <col min="1770" max="1770" width="0.85546875" style="255" customWidth="1"/>
    <col min="1771" max="1774" width="10.7109375" style="255" customWidth="1"/>
    <col min="1775" max="1777" width="11.42578125" style="255"/>
    <col min="1778" max="1778" width="11.85546875" style="255" bestFit="1" customWidth="1"/>
    <col min="1779" max="2010" width="11.42578125" style="255"/>
    <col min="2011" max="2011" width="4" style="255" customWidth="1"/>
    <col min="2012" max="2012" width="32.5703125" style="255" bestFit="1" customWidth="1"/>
    <col min="2013" max="2013" width="0.85546875" style="255" customWidth="1"/>
    <col min="2014" max="2014" width="10.7109375" style="255" customWidth="1"/>
    <col min="2015" max="2015" width="0.85546875" style="255" customWidth="1"/>
    <col min="2016" max="2017" width="15.7109375" style="255" customWidth="1"/>
    <col min="2018" max="2018" width="0.85546875" style="255" customWidth="1"/>
    <col min="2019" max="2020" width="15.7109375" style="255" customWidth="1"/>
    <col min="2021" max="2021" width="0.85546875" style="255" customWidth="1"/>
    <col min="2022" max="2023" width="15.7109375" style="255" customWidth="1"/>
    <col min="2024" max="2024" width="0.85546875" style="255" customWidth="1"/>
    <col min="2025" max="2025" width="15.7109375" style="255" customWidth="1"/>
    <col min="2026" max="2026" width="0.85546875" style="255" customWidth="1"/>
    <col min="2027" max="2030" width="10.7109375" style="255" customWidth="1"/>
    <col min="2031" max="2033" width="11.42578125" style="255"/>
    <col min="2034" max="2034" width="11.85546875" style="255" bestFit="1" customWidth="1"/>
    <col min="2035" max="2266" width="11.42578125" style="255"/>
    <col min="2267" max="2267" width="4" style="255" customWidth="1"/>
    <col min="2268" max="2268" width="32.5703125" style="255" bestFit="1" customWidth="1"/>
    <col min="2269" max="2269" width="0.85546875" style="255" customWidth="1"/>
    <col min="2270" max="2270" width="10.7109375" style="255" customWidth="1"/>
    <col min="2271" max="2271" width="0.85546875" style="255" customWidth="1"/>
    <col min="2272" max="2273" width="15.7109375" style="255" customWidth="1"/>
    <col min="2274" max="2274" width="0.85546875" style="255" customWidth="1"/>
    <col min="2275" max="2276" width="15.7109375" style="255" customWidth="1"/>
    <col min="2277" max="2277" width="0.85546875" style="255" customWidth="1"/>
    <col min="2278" max="2279" width="15.7109375" style="255" customWidth="1"/>
    <col min="2280" max="2280" width="0.85546875" style="255" customWidth="1"/>
    <col min="2281" max="2281" width="15.7109375" style="255" customWidth="1"/>
    <col min="2282" max="2282" width="0.85546875" style="255" customWidth="1"/>
    <col min="2283" max="2286" width="10.7109375" style="255" customWidth="1"/>
    <col min="2287" max="2289" width="11.42578125" style="255"/>
    <col min="2290" max="2290" width="11.85546875" style="255" bestFit="1" customWidth="1"/>
    <col min="2291" max="2522" width="11.42578125" style="255"/>
    <col min="2523" max="2523" width="4" style="255" customWidth="1"/>
    <col min="2524" max="2524" width="32.5703125" style="255" bestFit="1" customWidth="1"/>
    <col min="2525" max="2525" width="0.85546875" style="255" customWidth="1"/>
    <col min="2526" max="2526" width="10.7109375" style="255" customWidth="1"/>
    <col min="2527" max="2527" width="0.85546875" style="255" customWidth="1"/>
    <col min="2528" max="2529" width="15.7109375" style="255" customWidth="1"/>
    <col min="2530" max="2530" width="0.85546875" style="255" customWidth="1"/>
    <col min="2531" max="2532" width="15.7109375" style="255" customWidth="1"/>
    <col min="2533" max="2533" width="0.85546875" style="255" customWidth="1"/>
    <col min="2534" max="2535" width="15.7109375" style="255" customWidth="1"/>
    <col min="2536" max="2536" width="0.85546875" style="255" customWidth="1"/>
    <col min="2537" max="2537" width="15.7109375" style="255" customWidth="1"/>
    <col min="2538" max="2538" width="0.85546875" style="255" customWidth="1"/>
    <col min="2539" max="2542" width="10.7109375" style="255" customWidth="1"/>
    <col min="2543" max="2545" width="11.42578125" style="255"/>
    <col min="2546" max="2546" width="11.85546875" style="255" bestFit="1" customWidth="1"/>
    <col min="2547" max="2778" width="11.42578125" style="255"/>
    <col min="2779" max="2779" width="4" style="255" customWidth="1"/>
    <col min="2780" max="2780" width="32.5703125" style="255" bestFit="1" customWidth="1"/>
    <col min="2781" max="2781" width="0.85546875" style="255" customWidth="1"/>
    <col min="2782" max="2782" width="10.7109375" style="255" customWidth="1"/>
    <col min="2783" max="2783" width="0.85546875" style="255" customWidth="1"/>
    <col min="2784" max="2785" width="15.7109375" style="255" customWidth="1"/>
    <col min="2786" max="2786" width="0.85546875" style="255" customWidth="1"/>
    <col min="2787" max="2788" width="15.7109375" style="255" customWidth="1"/>
    <col min="2789" max="2789" width="0.85546875" style="255" customWidth="1"/>
    <col min="2790" max="2791" width="15.7109375" style="255" customWidth="1"/>
    <col min="2792" max="2792" width="0.85546875" style="255" customWidth="1"/>
    <col min="2793" max="2793" width="15.7109375" style="255" customWidth="1"/>
    <col min="2794" max="2794" width="0.85546875" style="255" customWidth="1"/>
    <col min="2795" max="2798" width="10.7109375" style="255" customWidth="1"/>
    <col min="2799" max="2801" width="11.42578125" style="255"/>
    <col min="2802" max="2802" width="11.85546875" style="255" bestFit="1" customWidth="1"/>
    <col min="2803" max="3034" width="11.42578125" style="255"/>
    <col min="3035" max="3035" width="4" style="255" customWidth="1"/>
    <col min="3036" max="3036" width="32.5703125" style="255" bestFit="1" customWidth="1"/>
    <col min="3037" max="3037" width="0.85546875" style="255" customWidth="1"/>
    <col min="3038" max="3038" width="10.7109375" style="255" customWidth="1"/>
    <col min="3039" max="3039" width="0.85546875" style="255" customWidth="1"/>
    <col min="3040" max="3041" width="15.7109375" style="255" customWidth="1"/>
    <col min="3042" max="3042" width="0.85546875" style="255" customWidth="1"/>
    <col min="3043" max="3044" width="15.7109375" style="255" customWidth="1"/>
    <col min="3045" max="3045" width="0.85546875" style="255" customWidth="1"/>
    <col min="3046" max="3047" width="15.7109375" style="255" customWidth="1"/>
    <col min="3048" max="3048" width="0.85546875" style="255" customWidth="1"/>
    <col min="3049" max="3049" width="15.7109375" style="255" customWidth="1"/>
    <col min="3050" max="3050" width="0.85546875" style="255" customWidth="1"/>
    <col min="3051" max="3054" width="10.7109375" style="255" customWidth="1"/>
    <col min="3055" max="3057" width="11.42578125" style="255"/>
    <col min="3058" max="3058" width="11.85546875" style="255" bestFit="1" customWidth="1"/>
    <col min="3059" max="3290" width="11.42578125" style="255"/>
    <col min="3291" max="3291" width="4" style="255" customWidth="1"/>
    <col min="3292" max="3292" width="32.5703125" style="255" bestFit="1" customWidth="1"/>
    <col min="3293" max="3293" width="0.85546875" style="255" customWidth="1"/>
    <col min="3294" max="3294" width="10.7109375" style="255" customWidth="1"/>
    <col min="3295" max="3295" width="0.85546875" style="255" customWidth="1"/>
    <col min="3296" max="3297" width="15.7109375" style="255" customWidth="1"/>
    <col min="3298" max="3298" width="0.85546875" style="255" customWidth="1"/>
    <col min="3299" max="3300" width="15.7109375" style="255" customWidth="1"/>
    <col min="3301" max="3301" width="0.85546875" style="255" customWidth="1"/>
    <col min="3302" max="3303" width="15.7109375" style="255" customWidth="1"/>
    <col min="3304" max="3304" width="0.85546875" style="255" customWidth="1"/>
    <col min="3305" max="3305" width="15.7109375" style="255" customWidth="1"/>
    <col min="3306" max="3306" width="0.85546875" style="255" customWidth="1"/>
    <col min="3307" max="3310" width="10.7109375" style="255" customWidth="1"/>
    <col min="3311" max="3313" width="11.42578125" style="255"/>
    <col min="3314" max="3314" width="11.85546875" style="255" bestFit="1" customWidth="1"/>
    <col min="3315" max="3546" width="11.42578125" style="255"/>
    <col min="3547" max="3547" width="4" style="255" customWidth="1"/>
    <col min="3548" max="3548" width="32.5703125" style="255" bestFit="1" customWidth="1"/>
    <col min="3549" max="3549" width="0.85546875" style="255" customWidth="1"/>
    <col min="3550" max="3550" width="10.7109375" style="255" customWidth="1"/>
    <col min="3551" max="3551" width="0.85546875" style="255" customWidth="1"/>
    <col min="3552" max="3553" width="15.7109375" style="255" customWidth="1"/>
    <col min="3554" max="3554" width="0.85546875" style="255" customWidth="1"/>
    <col min="3555" max="3556" width="15.7109375" style="255" customWidth="1"/>
    <col min="3557" max="3557" width="0.85546875" style="255" customWidth="1"/>
    <col min="3558" max="3559" width="15.7109375" style="255" customWidth="1"/>
    <col min="3560" max="3560" width="0.85546875" style="255" customWidth="1"/>
    <col min="3561" max="3561" width="15.7109375" style="255" customWidth="1"/>
    <col min="3562" max="3562" width="0.85546875" style="255" customWidth="1"/>
    <col min="3563" max="3566" width="10.7109375" style="255" customWidth="1"/>
    <col min="3567" max="3569" width="11.42578125" style="255"/>
    <col min="3570" max="3570" width="11.85546875" style="255" bestFit="1" customWidth="1"/>
    <col min="3571" max="3802" width="11.42578125" style="255"/>
    <col min="3803" max="3803" width="4" style="255" customWidth="1"/>
    <col min="3804" max="3804" width="32.5703125" style="255" bestFit="1" customWidth="1"/>
    <col min="3805" max="3805" width="0.85546875" style="255" customWidth="1"/>
    <col min="3806" max="3806" width="10.7109375" style="255" customWidth="1"/>
    <col min="3807" max="3807" width="0.85546875" style="255" customWidth="1"/>
    <col min="3808" max="3809" width="15.7109375" style="255" customWidth="1"/>
    <col min="3810" max="3810" width="0.85546875" style="255" customWidth="1"/>
    <col min="3811" max="3812" width="15.7109375" style="255" customWidth="1"/>
    <col min="3813" max="3813" width="0.85546875" style="255" customWidth="1"/>
    <col min="3814" max="3815" width="15.7109375" style="255" customWidth="1"/>
    <col min="3816" max="3816" width="0.85546875" style="255" customWidth="1"/>
    <col min="3817" max="3817" width="15.7109375" style="255" customWidth="1"/>
    <col min="3818" max="3818" width="0.85546875" style="255" customWidth="1"/>
    <col min="3819" max="3822" width="10.7109375" style="255" customWidth="1"/>
    <col min="3823" max="3825" width="11.42578125" style="255"/>
    <col min="3826" max="3826" width="11.85546875" style="255" bestFit="1" customWidth="1"/>
    <col min="3827" max="4058" width="11.42578125" style="255"/>
    <col min="4059" max="4059" width="4" style="255" customWidth="1"/>
    <col min="4060" max="4060" width="32.5703125" style="255" bestFit="1" customWidth="1"/>
    <col min="4061" max="4061" width="0.85546875" style="255" customWidth="1"/>
    <col min="4062" max="4062" width="10.7109375" style="255" customWidth="1"/>
    <col min="4063" max="4063" width="0.85546875" style="255" customWidth="1"/>
    <col min="4064" max="4065" width="15.7109375" style="255" customWidth="1"/>
    <col min="4066" max="4066" width="0.85546875" style="255" customWidth="1"/>
    <col min="4067" max="4068" width="15.7109375" style="255" customWidth="1"/>
    <col min="4069" max="4069" width="0.85546875" style="255" customWidth="1"/>
    <col min="4070" max="4071" width="15.7109375" style="255" customWidth="1"/>
    <col min="4072" max="4072" width="0.85546875" style="255" customWidth="1"/>
    <col min="4073" max="4073" width="15.7109375" style="255" customWidth="1"/>
    <col min="4074" max="4074" width="0.85546875" style="255" customWidth="1"/>
    <col min="4075" max="4078" width="10.7109375" style="255" customWidth="1"/>
    <col min="4079" max="4081" width="11.42578125" style="255"/>
    <col min="4082" max="4082" width="11.85546875" style="255" bestFit="1" customWidth="1"/>
    <col min="4083" max="4314" width="11.42578125" style="255"/>
    <col min="4315" max="4315" width="4" style="255" customWidth="1"/>
    <col min="4316" max="4316" width="32.5703125" style="255" bestFit="1" customWidth="1"/>
    <col min="4317" max="4317" width="0.85546875" style="255" customWidth="1"/>
    <col min="4318" max="4318" width="10.7109375" style="255" customWidth="1"/>
    <col min="4319" max="4319" width="0.85546875" style="255" customWidth="1"/>
    <col min="4320" max="4321" width="15.7109375" style="255" customWidth="1"/>
    <col min="4322" max="4322" width="0.85546875" style="255" customWidth="1"/>
    <col min="4323" max="4324" width="15.7109375" style="255" customWidth="1"/>
    <col min="4325" max="4325" width="0.85546875" style="255" customWidth="1"/>
    <col min="4326" max="4327" width="15.7109375" style="255" customWidth="1"/>
    <col min="4328" max="4328" width="0.85546875" style="255" customWidth="1"/>
    <col min="4329" max="4329" width="15.7109375" style="255" customWidth="1"/>
    <col min="4330" max="4330" width="0.85546875" style="255" customWidth="1"/>
    <col min="4331" max="4334" width="10.7109375" style="255" customWidth="1"/>
    <col min="4335" max="4337" width="11.42578125" style="255"/>
    <col min="4338" max="4338" width="11.85546875" style="255" bestFit="1" customWidth="1"/>
    <col min="4339" max="4570" width="11.42578125" style="255"/>
    <col min="4571" max="4571" width="4" style="255" customWidth="1"/>
    <col min="4572" max="4572" width="32.5703125" style="255" bestFit="1" customWidth="1"/>
    <col min="4573" max="4573" width="0.85546875" style="255" customWidth="1"/>
    <col min="4574" max="4574" width="10.7109375" style="255" customWidth="1"/>
    <col min="4575" max="4575" width="0.85546875" style="255" customWidth="1"/>
    <col min="4576" max="4577" width="15.7109375" style="255" customWidth="1"/>
    <col min="4578" max="4578" width="0.85546875" style="255" customWidth="1"/>
    <col min="4579" max="4580" width="15.7109375" style="255" customWidth="1"/>
    <col min="4581" max="4581" width="0.85546875" style="255" customWidth="1"/>
    <col min="4582" max="4583" width="15.7109375" style="255" customWidth="1"/>
    <col min="4584" max="4584" width="0.85546875" style="255" customWidth="1"/>
    <col min="4585" max="4585" width="15.7109375" style="255" customWidth="1"/>
    <col min="4586" max="4586" width="0.85546875" style="255" customWidth="1"/>
    <col min="4587" max="4590" width="10.7109375" style="255" customWidth="1"/>
    <col min="4591" max="4593" width="11.42578125" style="255"/>
    <col min="4594" max="4594" width="11.85546875" style="255" bestFit="1" customWidth="1"/>
    <col min="4595" max="4826" width="11.42578125" style="255"/>
    <col min="4827" max="4827" width="4" style="255" customWidth="1"/>
    <col min="4828" max="4828" width="32.5703125" style="255" bestFit="1" customWidth="1"/>
    <col min="4829" max="4829" width="0.85546875" style="255" customWidth="1"/>
    <col min="4830" max="4830" width="10.7109375" style="255" customWidth="1"/>
    <col min="4831" max="4831" width="0.85546875" style="255" customWidth="1"/>
    <col min="4832" max="4833" width="15.7109375" style="255" customWidth="1"/>
    <col min="4834" max="4834" width="0.85546875" style="255" customWidth="1"/>
    <col min="4835" max="4836" width="15.7109375" style="255" customWidth="1"/>
    <col min="4837" max="4837" width="0.85546875" style="255" customWidth="1"/>
    <col min="4838" max="4839" width="15.7109375" style="255" customWidth="1"/>
    <col min="4840" max="4840" width="0.85546875" style="255" customWidth="1"/>
    <col min="4841" max="4841" width="15.7109375" style="255" customWidth="1"/>
    <col min="4842" max="4842" width="0.85546875" style="255" customWidth="1"/>
    <col min="4843" max="4846" width="10.7109375" style="255" customWidth="1"/>
    <col min="4847" max="4849" width="11.42578125" style="255"/>
    <col min="4850" max="4850" width="11.85546875" style="255" bestFit="1" customWidth="1"/>
    <col min="4851" max="5082" width="11.42578125" style="255"/>
    <col min="5083" max="5083" width="4" style="255" customWidth="1"/>
    <col min="5084" max="5084" width="32.5703125" style="255" bestFit="1" customWidth="1"/>
    <col min="5085" max="5085" width="0.85546875" style="255" customWidth="1"/>
    <col min="5086" max="5086" width="10.7109375" style="255" customWidth="1"/>
    <col min="5087" max="5087" width="0.85546875" style="255" customWidth="1"/>
    <col min="5088" max="5089" width="15.7109375" style="255" customWidth="1"/>
    <col min="5090" max="5090" width="0.85546875" style="255" customWidth="1"/>
    <col min="5091" max="5092" width="15.7109375" style="255" customWidth="1"/>
    <col min="5093" max="5093" width="0.85546875" style="255" customWidth="1"/>
    <col min="5094" max="5095" width="15.7109375" style="255" customWidth="1"/>
    <col min="5096" max="5096" width="0.85546875" style="255" customWidth="1"/>
    <col min="5097" max="5097" width="15.7109375" style="255" customWidth="1"/>
    <col min="5098" max="5098" width="0.85546875" style="255" customWidth="1"/>
    <col min="5099" max="5102" width="10.7109375" style="255" customWidth="1"/>
    <col min="5103" max="5105" width="11.42578125" style="255"/>
    <col min="5106" max="5106" width="11.85546875" style="255" bestFit="1" customWidth="1"/>
    <col min="5107" max="5338" width="11.42578125" style="255"/>
    <col min="5339" max="5339" width="4" style="255" customWidth="1"/>
    <col min="5340" max="5340" width="32.5703125" style="255" bestFit="1" customWidth="1"/>
    <col min="5341" max="5341" width="0.85546875" style="255" customWidth="1"/>
    <col min="5342" max="5342" width="10.7109375" style="255" customWidth="1"/>
    <col min="5343" max="5343" width="0.85546875" style="255" customWidth="1"/>
    <col min="5344" max="5345" width="15.7109375" style="255" customWidth="1"/>
    <col min="5346" max="5346" width="0.85546875" style="255" customWidth="1"/>
    <col min="5347" max="5348" width="15.7109375" style="255" customWidth="1"/>
    <col min="5349" max="5349" width="0.85546875" style="255" customWidth="1"/>
    <col min="5350" max="5351" width="15.7109375" style="255" customWidth="1"/>
    <col min="5352" max="5352" width="0.85546875" style="255" customWidth="1"/>
    <col min="5353" max="5353" width="15.7109375" style="255" customWidth="1"/>
    <col min="5354" max="5354" width="0.85546875" style="255" customWidth="1"/>
    <col min="5355" max="5358" width="10.7109375" style="255" customWidth="1"/>
    <col min="5359" max="5361" width="11.42578125" style="255"/>
    <col min="5362" max="5362" width="11.85546875" style="255" bestFit="1" customWidth="1"/>
    <col min="5363" max="5594" width="11.42578125" style="255"/>
    <col min="5595" max="5595" width="4" style="255" customWidth="1"/>
    <col min="5596" max="5596" width="32.5703125" style="255" bestFit="1" customWidth="1"/>
    <col min="5597" max="5597" width="0.85546875" style="255" customWidth="1"/>
    <col min="5598" max="5598" width="10.7109375" style="255" customWidth="1"/>
    <col min="5599" max="5599" width="0.85546875" style="255" customWidth="1"/>
    <col min="5600" max="5601" width="15.7109375" style="255" customWidth="1"/>
    <col min="5602" max="5602" width="0.85546875" style="255" customWidth="1"/>
    <col min="5603" max="5604" width="15.7109375" style="255" customWidth="1"/>
    <col min="5605" max="5605" width="0.85546875" style="255" customWidth="1"/>
    <col min="5606" max="5607" width="15.7109375" style="255" customWidth="1"/>
    <col min="5608" max="5608" width="0.85546875" style="255" customWidth="1"/>
    <col min="5609" max="5609" width="15.7109375" style="255" customWidth="1"/>
    <col min="5610" max="5610" width="0.85546875" style="255" customWidth="1"/>
    <col min="5611" max="5614" width="10.7109375" style="255" customWidth="1"/>
    <col min="5615" max="5617" width="11.42578125" style="255"/>
    <col min="5618" max="5618" width="11.85546875" style="255" bestFit="1" customWidth="1"/>
    <col min="5619" max="5850" width="11.42578125" style="255"/>
    <col min="5851" max="5851" width="4" style="255" customWidth="1"/>
    <col min="5852" max="5852" width="32.5703125" style="255" bestFit="1" customWidth="1"/>
    <col min="5853" max="5853" width="0.85546875" style="255" customWidth="1"/>
    <col min="5854" max="5854" width="10.7109375" style="255" customWidth="1"/>
    <col min="5855" max="5855" width="0.85546875" style="255" customWidth="1"/>
    <col min="5856" max="5857" width="15.7109375" style="255" customWidth="1"/>
    <col min="5858" max="5858" width="0.85546875" style="255" customWidth="1"/>
    <col min="5859" max="5860" width="15.7109375" style="255" customWidth="1"/>
    <col min="5861" max="5861" width="0.85546875" style="255" customWidth="1"/>
    <col min="5862" max="5863" width="15.7109375" style="255" customWidth="1"/>
    <col min="5864" max="5864" width="0.85546875" style="255" customWidth="1"/>
    <col min="5865" max="5865" width="15.7109375" style="255" customWidth="1"/>
    <col min="5866" max="5866" width="0.85546875" style="255" customWidth="1"/>
    <col min="5867" max="5870" width="10.7109375" style="255" customWidth="1"/>
    <col min="5871" max="5873" width="11.42578125" style="255"/>
    <col min="5874" max="5874" width="11.85546875" style="255" bestFit="1" customWidth="1"/>
    <col min="5875" max="6106" width="11.42578125" style="255"/>
    <col min="6107" max="6107" width="4" style="255" customWidth="1"/>
    <col min="6108" max="6108" width="32.5703125" style="255" bestFit="1" customWidth="1"/>
    <col min="6109" max="6109" width="0.85546875" style="255" customWidth="1"/>
    <col min="6110" max="6110" width="10.7109375" style="255" customWidth="1"/>
    <col min="6111" max="6111" width="0.85546875" style="255" customWidth="1"/>
    <col min="6112" max="6113" width="15.7109375" style="255" customWidth="1"/>
    <col min="6114" max="6114" width="0.85546875" style="255" customWidth="1"/>
    <col min="6115" max="6116" width="15.7109375" style="255" customWidth="1"/>
    <col min="6117" max="6117" width="0.85546875" style="255" customWidth="1"/>
    <col min="6118" max="6119" width="15.7109375" style="255" customWidth="1"/>
    <col min="6120" max="6120" width="0.85546875" style="255" customWidth="1"/>
    <col min="6121" max="6121" width="15.7109375" style="255" customWidth="1"/>
    <col min="6122" max="6122" width="0.85546875" style="255" customWidth="1"/>
    <col min="6123" max="6126" width="10.7109375" style="255" customWidth="1"/>
    <col min="6127" max="6129" width="11.42578125" style="255"/>
    <col min="6130" max="6130" width="11.85546875" style="255" bestFit="1" customWidth="1"/>
    <col min="6131" max="6362" width="11.42578125" style="255"/>
    <col min="6363" max="6363" width="4" style="255" customWidth="1"/>
    <col min="6364" max="6364" width="32.5703125" style="255" bestFit="1" customWidth="1"/>
    <col min="6365" max="6365" width="0.85546875" style="255" customWidth="1"/>
    <col min="6366" max="6366" width="10.7109375" style="255" customWidth="1"/>
    <col min="6367" max="6367" width="0.85546875" style="255" customWidth="1"/>
    <col min="6368" max="6369" width="15.7109375" style="255" customWidth="1"/>
    <col min="6370" max="6370" width="0.85546875" style="255" customWidth="1"/>
    <col min="6371" max="6372" width="15.7109375" style="255" customWidth="1"/>
    <col min="6373" max="6373" width="0.85546875" style="255" customWidth="1"/>
    <col min="6374" max="6375" width="15.7109375" style="255" customWidth="1"/>
    <col min="6376" max="6376" width="0.85546875" style="255" customWidth="1"/>
    <col min="6377" max="6377" width="15.7109375" style="255" customWidth="1"/>
    <col min="6378" max="6378" width="0.85546875" style="255" customWidth="1"/>
    <col min="6379" max="6382" width="10.7109375" style="255" customWidth="1"/>
    <col min="6383" max="6385" width="11.42578125" style="255"/>
    <col min="6386" max="6386" width="11.85546875" style="255" bestFit="1" customWidth="1"/>
    <col min="6387" max="6618" width="11.42578125" style="255"/>
    <col min="6619" max="6619" width="4" style="255" customWidth="1"/>
    <col min="6620" max="6620" width="32.5703125" style="255" bestFit="1" customWidth="1"/>
    <col min="6621" max="6621" width="0.85546875" style="255" customWidth="1"/>
    <col min="6622" max="6622" width="10.7109375" style="255" customWidth="1"/>
    <col min="6623" max="6623" width="0.85546875" style="255" customWidth="1"/>
    <col min="6624" max="6625" width="15.7109375" style="255" customWidth="1"/>
    <col min="6626" max="6626" width="0.85546875" style="255" customWidth="1"/>
    <col min="6627" max="6628" width="15.7109375" style="255" customWidth="1"/>
    <col min="6629" max="6629" width="0.85546875" style="255" customWidth="1"/>
    <col min="6630" max="6631" width="15.7109375" style="255" customWidth="1"/>
    <col min="6632" max="6632" width="0.85546875" style="255" customWidth="1"/>
    <col min="6633" max="6633" width="15.7109375" style="255" customWidth="1"/>
    <col min="6634" max="6634" width="0.85546875" style="255" customWidth="1"/>
    <col min="6635" max="6638" width="10.7109375" style="255" customWidth="1"/>
    <col min="6639" max="6641" width="11.42578125" style="255"/>
    <col min="6642" max="6642" width="11.85546875" style="255" bestFit="1" customWidth="1"/>
    <col min="6643" max="6874" width="11.42578125" style="255"/>
    <col min="6875" max="6875" width="4" style="255" customWidth="1"/>
    <col min="6876" max="6876" width="32.5703125" style="255" bestFit="1" customWidth="1"/>
    <col min="6877" max="6877" width="0.85546875" style="255" customWidth="1"/>
    <col min="6878" max="6878" width="10.7109375" style="255" customWidth="1"/>
    <col min="6879" max="6879" width="0.85546875" style="255" customWidth="1"/>
    <col min="6880" max="6881" width="15.7109375" style="255" customWidth="1"/>
    <col min="6882" max="6882" width="0.85546875" style="255" customWidth="1"/>
    <col min="6883" max="6884" width="15.7109375" style="255" customWidth="1"/>
    <col min="6885" max="6885" width="0.85546875" style="255" customWidth="1"/>
    <col min="6886" max="6887" width="15.7109375" style="255" customWidth="1"/>
    <col min="6888" max="6888" width="0.85546875" style="255" customWidth="1"/>
    <col min="6889" max="6889" width="15.7109375" style="255" customWidth="1"/>
    <col min="6890" max="6890" width="0.85546875" style="255" customWidth="1"/>
    <col min="6891" max="6894" width="10.7109375" style="255" customWidth="1"/>
    <col min="6895" max="6897" width="11.42578125" style="255"/>
    <col min="6898" max="6898" width="11.85546875" style="255" bestFit="1" customWidth="1"/>
    <col min="6899" max="7130" width="11.42578125" style="255"/>
    <col min="7131" max="7131" width="4" style="255" customWidth="1"/>
    <col min="7132" max="7132" width="32.5703125" style="255" bestFit="1" customWidth="1"/>
    <col min="7133" max="7133" width="0.85546875" style="255" customWidth="1"/>
    <col min="7134" max="7134" width="10.7109375" style="255" customWidth="1"/>
    <col min="7135" max="7135" width="0.85546875" style="255" customWidth="1"/>
    <col min="7136" max="7137" width="15.7109375" style="255" customWidth="1"/>
    <col min="7138" max="7138" width="0.85546875" style="255" customWidth="1"/>
    <col min="7139" max="7140" width="15.7109375" style="255" customWidth="1"/>
    <col min="7141" max="7141" width="0.85546875" style="255" customWidth="1"/>
    <col min="7142" max="7143" width="15.7109375" style="255" customWidth="1"/>
    <col min="7144" max="7144" width="0.85546875" style="255" customWidth="1"/>
    <col min="7145" max="7145" width="15.7109375" style="255" customWidth="1"/>
    <col min="7146" max="7146" width="0.85546875" style="255" customWidth="1"/>
    <col min="7147" max="7150" width="10.7109375" style="255" customWidth="1"/>
    <col min="7151" max="7153" width="11.42578125" style="255"/>
    <col min="7154" max="7154" width="11.85546875" style="255" bestFit="1" customWidth="1"/>
    <col min="7155" max="7386" width="11.42578125" style="255"/>
    <col min="7387" max="7387" width="4" style="255" customWidth="1"/>
    <col min="7388" max="7388" width="32.5703125" style="255" bestFit="1" customWidth="1"/>
    <col min="7389" max="7389" width="0.85546875" style="255" customWidth="1"/>
    <col min="7390" max="7390" width="10.7109375" style="255" customWidth="1"/>
    <col min="7391" max="7391" width="0.85546875" style="255" customWidth="1"/>
    <col min="7392" max="7393" width="15.7109375" style="255" customWidth="1"/>
    <col min="7394" max="7394" width="0.85546875" style="255" customWidth="1"/>
    <col min="7395" max="7396" width="15.7109375" style="255" customWidth="1"/>
    <col min="7397" max="7397" width="0.85546875" style="255" customWidth="1"/>
    <col min="7398" max="7399" width="15.7109375" style="255" customWidth="1"/>
    <col min="7400" max="7400" width="0.85546875" style="255" customWidth="1"/>
    <col min="7401" max="7401" width="15.7109375" style="255" customWidth="1"/>
    <col min="7402" max="7402" width="0.85546875" style="255" customWidth="1"/>
    <col min="7403" max="7406" width="10.7109375" style="255" customWidth="1"/>
    <col min="7407" max="7409" width="11.42578125" style="255"/>
    <col min="7410" max="7410" width="11.85546875" style="255" bestFit="1" customWidth="1"/>
    <col min="7411" max="7642" width="11.42578125" style="255"/>
    <col min="7643" max="7643" width="4" style="255" customWidth="1"/>
    <col min="7644" max="7644" width="32.5703125" style="255" bestFit="1" customWidth="1"/>
    <col min="7645" max="7645" width="0.85546875" style="255" customWidth="1"/>
    <col min="7646" max="7646" width="10.7109375" style="255" customWidth="1"/>
    <col min="7647" max="7647" width="0.85546875" style="255" customWidth="1"/>
    <col min="7648" max="7649" width="15.7109375" style="255" customWidth="1"/>
    <col min="7650" max="7650" width="0.85546875" style="255" customWidth="1"/>
    <col min="7651" max="7652" width="15.7109375" style="255" customWidth="1"/>
    <col min="7653" max="7653" width="0.85546875" style="255" customWidth="1"/>
    <col min="7654" max="7655" width="15.7109375" style="255" customWidth="1"/>
    <col min="7656" max="7656" width="0.85546875" style="255" customWidth="1"/>
    <col min="7657" max="7657" width="15.7109375" style="255" customWidth="1"/>
    <col min="7658" max="7658" width="0.85546875" style="255" customWidth="1"/>
    <col min="7659" max="7662" width="10.7109375" style="255" customWidth="1"/>
    <col min="7663" max="7665" width="11.42578125" style="255"/>
    <col min="7666" max="7666" width="11.85546875" style="255" bestFit="1" customWidth="1"/>
    <col min="7667" max="7898" width="11.42578125" style="255"/>
    <col min="7899" max="7899" width="4" style="255" customWidth="1"/>
    <col min="7900" max="7900" width="32.5703125" style="255" bestFit="1" customWidth="1"/>
    <col min="7901" max="7901" width="0.85546875" style="255" customWidth="1"/>
    <col min="7902" max="7902" width="10.7109375" style="255" customWidth="1"/>
    <col min="7903" max="7903" width="0.85546875" style="255" customWidth="1"/>
    <col min="7904" max="7905" width="15.7109375" style="255" customWidth="1"/>
    <col min="7906" max="7906" width="0.85546875" style="255" customWidth="1"/>
    <col min="7907" max="7908" width="15.7109375" style="255" customWidth="1"/>
    <col min="7909" max="7909" width="0.85546875" style="255" customWidth="1"/>
    <col min="7910" max="7911" width="15.7109375" style="255" customWidth="1"/>
    <col min="7912" max="7912" width="0.85546875" style="255" customWidth="1"/>
    <col min="7913" max="7913" width="15.7109375" style="255" customWidth="1"/>
    <col min="7914" max="7914" width="0.85546875" style="255" customWidth="1"/>
    <col min="7915" max="7918" width="10.7109375" style="255" customWidth="1"/>
    <col min="7919" max="7921" width="11.42578125" style="255"/>
    <col min="7922" max="7922" width="11.85546875" style="255" bestFit="1" customWidth="1"/>
    <col min="7923" max="8154" width="11.42578125" style="255"/>
    <col min="8155" max="8155" width="4" style="255" customWidth="1"/>
    <col min="8156" max="8156" width="32.5703125" style="255" bestFit="1" customWidth="1"/>
    <col min="8157" max="8157" width="0.85546875" style="255" customWidth="1"/>
    <col min="8158" max="8158" width="10.7109375" style="255" customWidth="1"/>
    <col min="8159" max="8159" width="0.85546875" style="255" customWidth="1"/>
    <col min="8160" max="8161" width="15.7109375" style="255" customWidth="1"/>
    <col min="8162" max="8162" width="0.85546875" style="255" customWidth="1"/>
    <col min="8163" max="8164" width="15.7109375" style="255" customWidth="1"/>
    <col min="8165" max="8165" width="0.85546875" style="255" customWidth="1"/>
    <col min="8166" max="8167" width="15.7109375" style="255" customWidth="1"/>
    <col min="8168" max="8168" width="0.85546875" style="255" customWidth="1"/>
    <col min="8169" max="8169" width="15.7109375" style="255" customWidth="1"/>
    <col min="8170" max="8170" width="0.85546875" style="255" customWidth="1"/>
    <col min="8171" max="8174" width="10.7109375" style="255" customWidth="1"/>
    <col min="8175" max="8177" width="11.42578125" style="255"/>
    <col min="8178" max="8178" width="11.85546875" style="255" bestFit="1" customWidth="1"/>
    <col min="8179" max="8410" width="11.42578125" style="255"/>
    <col min="8411" max="8411" width="4" style="255" customWidth="1"/>
    <col min="8412" max="8412" width="32.5703125" style="255" bestFit="1" customWidth="1"/>
    <col min="8413" max="8413" width="0.85546875" style="255" customWidth="1"/>
    <col min="8414" max="8414" width="10.7109375" style="255" customWidth="1"/>
    <col min="8415" max="8415" width="0.85546875" style="255" customWidth="1"/>
    <col min="8416" max="8417" width="15.7109375" style="255" customWidth="1"/>
    <col min="8418" max="8418" width="0.85546875" style="255" customWidth="1"/>
    <col min="8419" max="8420" width="15.7109375" style="255" customWidth="1"/>
    <col min="8421" max="8421" width="0.85546875" style="255" customWidth="1"/>
    <col min="8422" max="8423" width="15.7109375" style="255" customWidth="1"/>
    <col min="8424" max="8424" width="0.85546875" style="255" customWidth="1"/>
    <col min="8425" max="8425" width="15.7109375" style="255" customWidth="1"/>
    <col min="8426" max="8426" width="0.85546875" style="255" customWidth="1"/>
    <col min="8427" max="8430" width="10.7109375" style="255" customWidth="1"/>
    <col min="8431" max="8433" width="11.42578125" style="255"/>
    <col min="8434" max="8434" width="11.85546875" style="255" bestFit="1" customWidth="1"/>
    <col min="8435" max="8666" width="11.42578125" style="255"/>
    <col min="8667" max="8667" width="4" style="255" customWidth="1"/>
    <col min="8668" max="8668" width="32.5703125" style="255" bestFit="1" customWidth="1"/>
    <col min="8669" max="8669" width="0.85546875" style="255" customWidth="1"/>
    <col min="8670" max="8670" width="10.7109375" style="255" customWidth="1"/>
    <col min="8671" max="8671" width="0.85546875" style="255" customWidth="1"/>
    <col min="8672" max="8673" width="15.7109375" style="255" customWidth="1"/>
    <col min="8674" max="8674" width="0.85546875" style="255" customWidth="1"/>
    <col min="8675" max="8676" width="15.7109375" style="255" customWidth="1"/>
    <col min="8677" max="8677" width="0.85546875" style="255" customWidth="1"/>
    <col min="8678" max="8679" width="15.7109375" style="255" customWidth="1"/>
    <col min="8680" max="8680" width="0.85546875" style="255" customWidth="1"/>
    <col min="8681" max="8681" width="15.7109375" style="255" customWidth="1"/>
    <col min="8682" max="8682" width="0.85546875" style="255" customWidth="1"/>
    <col min="8683" max="8686" width="10.7109375" style="255" customWidth="1"/>
    <col min="8687" max="8689" width="11.42578125" style="255"/>
    <col min="8690" max="8690" width="11.85546875" style="255" bestFit="1" customWidth="1"/>
    <col min="8691" max="8922" width="11.42578125" style="255"/>
    <col min="8923" max="8923" width="4" style="255" customWidth="1"/>
    <col min="8924" max="8924" width="32.5703125" style="255" bestFit="1" customWidth="1"/>
    <col min="8925" max="8925" width="0.85546875" style="255" customWidth="1"/>
    <col min="8926" max="8926" width="10.7109375" style="255" customWidth="1"/>
    <col min="8927" max="8927" width="0.85546875" style="255" customWidth="1"/>
    <col min="8928" max="8929" width="15.7109375" style="255" customWidth="1"/>
    <col min="8930" max="8930" width="0.85546875" style="255" customWidth="1"/>
    <col min="8931" max="8932" width="15.7109375" style="255" customWidth="1"/>
    <col min="8933" max="8933" width="0.85546875" style="255" customWidth="1"/>
    <col min="8934" max="8935" width="15.7109375" style="255" customWidth="1"/>
    <col min="8936" max="8936" width="0.85546875" style="255" customWidth="1"/>
    <col min="8937" max="8937" width="15.7109375" style="255" customWidth="1"/>
    <col min="8938" max="8938" width="0.85546875" style="255" customWidth="1"/>
    <col min="8939" max="8942" width="10.7109375" style="255" customWidth="1"/>
    <col min="8943" max="8945" width="11.42578125" style="255"/>
    <col min="8946" max="8946" width="11.85546875" style="255" bestFit="1" customWidth="1"/>
    <col min="8947" max="9178" width="11.42578125" style="255"/>
    <col min="9179" max="9179" width="4" style="255" customWidth="1"/>
    <col min="9180" max="9180" width="32.5703125" style="255" bestFit="1" customWidth="1"/>
    <col min="9181" max="9181" width="0.85546875" style="255" customWidth="1"/>
    <col min="9182" max="9182" width="10.7109375" style="255" customWidth="1"/>
    <col min="9183" max="9183" width="0.85546875" style="255" customWidth="1"/>
    <col min="9184" max="9185" width="15.7109375" style="255" customWidth="1"/>
    <col min="9186" max="9186" width="0.85546875" style="255" customWidth="1"/>
    <col min="9187" max="9188" width="15.7109375" style="255" customWidth="1"/>
    <col min="9189" max="9189" width="0.85546875" style="255" customWidth="1"/>
    <col min="9190" max="9191" width="15.7109375" style="255" customWidth="1"/>
    <col min="9192" max="9192" width="0.85546875" style="255" customWidth="1"/>
    <col min="9193" max="9193" width="15.7109375" style="255" customWidth="1"/>
    <col min="9194" max="9194" width="0.85546875" style="255" customWidth="1"/>
    <col min="9195" max="9198" width="10.7109375" style="255" customWidth="1"/>
    <col min="9199" max="9201" width="11.42578125" style="255"/>
    <col min="9202" max="9202" width="11.85546875" style="255" bestFit="1" customWidth="1"/>
    <col min="9203" max="9434" width="11.42578125" style="255"/>
    <col min="9435" max="9435" width="4" style="255" customWidth="1"/>
    <col min="9436" max="9436" width="32.5703125" style="255" bestFit="1" customWidth="1"/>
    <col min="9437" max="9437" width="0.85546875" style="255" customWidth="1"/>
    <col min="9438" max="9438" width="10.7109375" style="255" customWidth="1"/>
    <col min="9439" max="9439" width="0.85546875" style="255" customWidth="1"/>
    <col min="9440" max="9441" width="15.7109375" style="255" customWidth="1"/>
    <col min="9442" max="9442" width="0.85546875" style="255" customWidth="1"/>
    <col min="9443" max="9444" width="15.7109375" style="255" customWidth="1"/>
    <col min="9445" max="9445" width="0.85546875" style="255" customWidth="1"/>
    <col min="9446" max="9447" width="15.7109375" style="255" customWidth="1"/>
    <col min="9448" max="9448" width="0.85546875" style="255" customWidth="1"/>
    <col min="9449" max="9449" width="15.7109375" style="255" customWidth="1"/>
    <col min="9450" max="9450" width="0.85546875" style="255" customWidth="1"/>
    <col min="9451" max="9454" width="10.7109375" style="255" customWidth="1"/>
    <col min="9455" max="9457" width="11.42578125" style="255"/>
    <col min="9458" max="9458" width="11.85546875" style="255" bestFit="1" customWidth="1"/>
    <col min="9459" max="9690" width="11.42578125" style="255"/>
    <col min="9691" max="9691" width="4" style="255" customWidth="1"/>
    <col min="9692" max="9692" width="32.5703125" style="255" bestFit="1" customWidth="1"/>
    <col min="9693" max="9693" width="0.85546875" style="255" customWidth="1"/>
    <col min="9694" max="9694" width="10.7109375" style="255" customWidth="1"/>
    <col min="9695" max="9695" width="0.85546875" style="255" customWidth="1"/>
    <col min="9696" max="9697" width="15.7109375" style="255" customWidth="1"/>
    <col min="9698" max="9698" width="0.85546875" style="255" customWidth="1"/>
    <col min="9699" max="9700" width="15.7109375" style="255" customWidth="1"/>
    <col min="9701" max="9701" width="0.85546875" style="255" customWidth="1"/>
    <col min="9702" max="9703" width="15.7109375" style="255" customWidth="1"/>
    <col min="9704" max="9704" width="0.85546875" style="255" customWidth="1"/>
    <col min="9705" max="9705" width="15.7109375" style="255" customWidth="1"/>
    <col min="9706" max="9706" width="0.85546875" style="255" customWidth="1"/>
    <col min="9707" max="9710" width="10.7109375" style="255" customWidth="1"/>
    <col min="9711" max="9713" width="11.42578125" style="255"/>
    <col min="9714" max="9714" width="11.85546875" style="255" bestFit="1" customWidth="1"/>
    <col min="9715" max="9946" width="11.42578125" style="255"/>
    <col min="9947" max="9947" width="4" style="255" customWidth="1"/>
    <col min="9948" max="9948" width="32.5703125" style="255" bestFit="1" customWidth="1"/>
    <col min="9949" max="9949" width="0.85546875" style="255" customWidth="1"/>
    <col min="9950" max="9950" width="10.7109375" style="255" customWidth="1"/>
    <col min="9951" max="9951" width="0.85546875" style="255" customWidth="1"/>
    <col min="9952" max="9953" width="15.7109375" style="255" customWidth="1"/>
    <col min="9954" max="9954" width="0.85546875" style="255" customWidth="1"/>
    <col min="9955" max="9956" width="15.7109375" style="255" customWidth="1"/>
    <col min="9957" max="9957" width="0.85546875" style="255" customWidth="1"/>
    <col min="9958" max="9959" width="15.7109375" style="255" customWidth="1"/>
    <col min="9960" max="9960" width="0.85546875" style="255" customWidth="1"/>
    <col min="9961" max="9961" width="15.7109375" style="255" customWidth="1"/>
    <col min="9962" max="9962" width="0.85546875" style="255" customWidth="1"/>
    <col min="9963" max="9966" width="10.7109375" style="255" customWidth="1"/>
    <col min="9967" max="9969" width="11.42578125" style="255"/>
    <col min="9970" max="9970" width="11.85546875" style="255" bestFit="1" customWidth="1"/>
    <col min="9971" max="10202" width="11.42578125" style="255"/>
    <col min="10203" max="10203" width="4" style="255" customWidth="1"/>
    <col min="10204" max="10204" width="32.5703125" style="255" bestFit="1" customWidth="1"/>
    <col min="10205" max="10205" width="0.85546875" style="255" customWidth="1"/>
    <col min="10206" max="10206" width="10.7109375" style="255" customWidth="1"/>
    <col min="10207" max="10207" width="0.85546875" style="255" customWidth="1"/>
    <col min="10208" max="10209" width="15.7109375" style="255" customWidth="1"/>
    <col min="10210" max="10210" width="0.85546875" style="255" customWidth="1"/>
    <col min="10211" max="10212" width="15.7109375" style="255" customWidth="1"/>
    <col min="10213" max="10213" width="0.85546875" style="255" customWidth="1"/>
    <col min="10214" max="10215" width="15.7109375" style="255" customWidth="1"/>
    <col min="10216" max="10216" width="0.85546875" style="255" customWidth="1"/>
    <col min="10217" max="10217" width="15.7109375" style="255" customWidth="1"/>
    <col min="10218" max="10218" width="0.85546875" style="255" customWidth="1"/>
    <col min="10219" max="10222" width="10.7109375" style="255" customWidth="1"/>
    <col min="10223" max="10225" width="11.42578125" style="255"/>
    <col min="10226" max="10226" width="11.85546875" style="255" bestFit="1" customWidth="1"/>
    <col min="10227" max="10458" width="11.42578125" style="255"/>
    <col min="10459" max="10459" width="4" style="255" customWidth="1"/>
    <col min="10460" max="10460" width="32.5703125" style="255" bestFit="1" customWidth="1"/>
    <col min="10461" max="10461" width="0.85546875" style="255" customWidth="1"/>
    <col min="10462" max="10462" width="10.7109375" style="255" customWidth="1"/>
    <col min="10463" max="10463" width="0.85546875" style="255" customWidth="1"/>
    <col min="10464" max="10465" width="15.7109375" style="255" customWidth="1"/>
    <col min="10466" max="10466" width="0.85546875" style="255" customWidth="1"/>
    <col min="10467" max="10468" width="15.7109375" style="255" customWidth="1"/>
    <col min="10469" max="10469" width="0.85546875" style="255" customWidth="1"/>
    <col min="10470" max="10471" width="15.7109375" style="255" customWidth="1"/>
    <col min="10472" max="10472" width="0.85546875" style="255" customWidth="1"/>
    <col min="10473" max="10473" width="15.7109375" style="255" customWidth="1"/>
    <col min="10474" max="10474" width="0.85546875" style="255" customWidth="1"/>
    <col min="10475" max="10478" width="10.7109375" style="255" customWidth="1"/>
    <col min="10479" max="10481" width="11.42578125" style="255"/>
    <col min="10482" max="10482" width="11.85546875" style="255" bestFit="1" customWidth="1"/>
    <col min="10483" max="10714" width="11.42578125" style="255"/>
    <col min="10715" max="10715" width="4" style="255" customWidth="1"/>
    <col min="10716" max="10716" width="32.5703125" style="255" bestFit="1" customWidth="1"/>
    <col min="10717" max="10717" width="0.85546875" style="255" customWidth="1"/>
    <col min="10718" max="10718" width="10.7109375" style="255" customWidth="1"/>
    <col min="10719" max="10719" width="0.85546875" style="255" customWidth="1"/>
    <col min="10720" max="10721" width="15.7109375" style="255" customWidth="1"/>
    <col min="10722" max="10722" width="0.85546875" style="255" customWidth="1"/>
    <col min="10723" max="10724" width="15.7109375" style="255" customWidth="1"/>
    <col min="10725" max="10725" width="0.85546875" style="255" customWidth="1"/>
    <col min="10726" max="10727" width="15.7109375" style="255" customWidth="1"/>
    <col min="10728" max="10728" width="0.85546875" style="255" customWidth="1"/>
    <col min="10729" max="10729" width="15.7109375" style="255" customWidth="1"/>
    <col min="10730" max="10730" width="0.85546875" style="255" customWidth="1"/>
    <col min="10731" max="10734" width="10.7109375" style="255" customWidth="1"/>
    <col min="10735" max="10737" width="11.42578125" style="255"/>
    <col min="10738" max="10738" width="11.85546875" style="255" bestFit="1" customWidth="1"/>
    <col min="10739" max="10970" width="11.42578125" style="255"/>
    <col min="10971" max="10971" width="4" style="255" customWidth="1"/>
    <col min="10972" max="10972" width="32.5703125" style="255" bestFit="1" customWidth="1"/>
    <col min="10973" max="10973" width="0.85546875" style="255" customWidth="1"/>
    <col min="10974" max="10974" width="10.7109375" style="255" customWidth="1"/>
    <col min="10975" max="10975" width="0.85546875" style="255" customWidth="1"/>
    <col min="10976" max="10977" width="15.7109375" style="255" customWidth="1"/>
    <col min="10978" max="10978" width="0.85546875" style="255" customWidth="1"/>
    <col min="10979" max="10980" width="15.7109375" style="255" customWidth="1"/>
    <col min="10981" max="10981" width="0.85546875" style="255" customWidth="1"/>
    <col min="10982" max="10983" width="15.7109375" style="255" customWidth="1"/>
    <col min="10984" max="10984" width="0.85546875" style="255" customWidth="1"/>
    <col min="10985" max="10985" width="15.7109375" style="255" customWidth="1"/>
    <col min="10986" max="10986" width="0.85546875" style="255" customWidth="1"/>
    <col min="10987" max="10990" width="10.7109375" style="255" customWidth="1"/>
    <col min="10991" max="10993" width="11.42578125" style="255"/>
    <col min="10994" max="10994" width="11.85546875" style="255" bestFit="1" customWidth="1"/>
    <col min="10995" max="11226" width="11.42578125" style="255"/>
    <col min="11227" max="11227" width="4" style="255" customWidth="1"/>
    <col min="11228" max="11228" width="32.5703125" style="255" bestFit="1" customWidth="1"/>
    <col min="11229" max="11229" width="0.85546875" style="255" customWidth="1"/>
    <col min="11230" max="11230" width="10.7109375" style="255" customWidth="1"/>
    <col min="11231" max="11231" width="0.85546875" style="255" customWidth="1"/>
    <col min="11232" max="11233" width="15.7109375" style="255" customWidth="1"/>
    <col min="11234" max="11234" width="0.85546875" style="255" customWidth="1"/>
    <col min="11235" max="11236" width="15.7109375" style="255" customWidth="1"/>
    <col min="11237" max="11237" width="0.85546875" style="255" customWidth="1"/>
    <col min="11238" max="11239" width="15.7109375" style="255" customWidth="1"/>
    <col min="11240" max="11240" width="0.85546875" style="255" customWidth="1"/>
    <col min="11241" max="11241" width="15.7109375" style="255" customWidth="1"/>
    <col min="11242" max="11242" width="0.85546875" style="255" customWidth="1"/>
    <col min="11243" max="11246" width="10.7109375" style="255" customWidth="1"/>
    <col min="11247" max="11249" width="11.42578125" style="255"/>
    <col min="11250" max="11250" width="11.85546875" style="255" bestFit="1" customWidth="1"/>
    <col min="11251" max="11482" width="11.42578125" style="255"/>
    <col min="11483" max="11483" width="4" style="255" customWidth="1"/>
    <col min="11484" max="11484" width="32.5703125" style="255" bestFit="1" customWidth="1"/>
    <col min="11485" max="11485" width="0.85546875" style="255" customWidth="1"/>
    <col min="11486" max="11486" width="10.7109375" style="255" customWidth="1"/>
    <col min="11487" max="11487" width="0.85546875" style="255" customWidth="1"/>
    <col min="11488" max="11489" width="15.7109375" style="255" customWidth="1"/>
    <col min="11490" max="11490" width="0.85546875" style="255" customWidth="1"/>
    <col min="11491" max="11492" width="15.7109375" style="255" customWidth="1"/>
    <col min="11493" max="11493" width="0.85546875" style="255" customWidth="1"/>
    <col min="11494" max="11495" width="15.7109375" style="255" customWidth="1"/>
    <col min="11496" max="11496" width="0.85546875" style="255" customWidth="1"/>
    <col min="11497" max="11497" width="15.7109375" style="255" customWidth="1"/>
    <col min="11498" max="11498" width="0.85546875" style="255" customWidth="1"/>
    <col min="11499" max="11502" width="10.7109375" style="255" customWidth="1"/>
    <col min="11503" max="11505" width="11.42578125" style="255"/>
    <col min="11506" max="11506" width="11.85546875" style="255" bestFit="1" customWidth="1"/>
    <col min="11507" max="11738" width="11.42578125" style="255"/>
    <col min="11739" max="11739" width="4" style="255" customWidth="1"/>
    <col min="11740" max="11740" width="32.5703125" style="255" bestFit="1" customWidth="1"/>
    <col min="11741" max="11741" width="0.85546875" style="255" customWidth="1"/>
    <col min="11742" max="11742" width="10.7109375" style="255" customWidth="1"/>
    <col min="11743" max="11743" width="0.85546875" style="255" customWidth="1"/>
    <col min="11744" max="11745" width="15.7109375" style="255" customWidth="1"/>
    <col min="11746" max="11746" width="0.85546875" style="255" customWidth="1"/>
    <col min="11747" max="11748" width="15.7109375" style="255" customWidth="1"/>
    <col min="11749" max="11749" width="0.85546875" style="255" customWidth="1"/>
    <col min="11750" max="11751" width="15.7109375" style="255" customWidth="1"/>
    <col min="11752" max="11752" width="0.85546875" style="255" customWidth="1"/>
    <col min="11753" max="11753" width="15.7109375" style="255" customWidth="1"/>
    <col min="11754" max="11754" width="0.85546875" style="255" customWidth="1"/>
    <col min="11755" max="11758" width="10.7109375" style="255" customWidth="1"/>
    <col min="11759" max="11761" width="11.42578125" style="255"/>
    <col min="11762" max="11762" width="11.85546875" style="255" bestFit="1" customWidth="1"/>
    <col min="11763" max="11994" width="11.42578125" style="255"/>
    <col min="11995" max="11995" width="4" style="255" customWidth="1"/>
    <col min="11996" max="11996" width="32.5703125" style="255" bestFit="1" customWidth="1"/>
    <col min="11997" max="11997" width="0.85546875" style="255" customWidth="1"/>
    <col min="11998" max="11998" width="10.7109375" style="255" customWidth="1"/>
    <col min="11999" max="11999" width="0.85546875" style="255" customWidth="1"/>
    <col min="12000" max="12001" width="15.7109375" style="255" customWidth="1"/>
    <col min="12002" max="12002" width="0.85546875" style="255" customWidth="1"/>
    <col min="12003" max="12004" width="15.7109375" style="255" customWidth="1"/>
    <col min="12005" max="12005" width="0.85546875" style="255" customWidth="1"/>
    <col min="12006" max="12007" width="15.7109375" style="255" customWidth="1"/>
    <col min="12008" max="12008" width="0.85546875" style="255" customWidth="1"/>
    <col min="12009" max="12009" width="15.7109375" style="255" customWidth="1"/>
    <col min="12010" max="12010" width="0.85546875" style="255" customWidth="1"/>
    <col min="12011" max="12014" width="10.7109375" style="255" customWidth="1"/>
    <col min="12015" max="12017" width="11.42578125" style="255"/>
    <col min="12018" max="12018" width="11.85546875" style="255" bestFit="1" customWidth="1"/>
    <col min="12019" max="12250" width="11.42578125" style="255"/>
    <col min="12251" max="12251" width="4" style="255" customWidth="1"/>
    <col min="12252" max="12252" width="32.5703125" style="255" bestFit="1" customWidth="1"/>
    <col min="12253" max="12253" width="0.85546875" style="255" customWidth="1"/>
    <col min="12254" max="12254" width="10.7109375" style="255" customWidth="1"/>
    <col min="12255" max="12255" width="0.85546875" style="255" customWidth="1"/>
    <col min="12256" max="12257" width="15.7109375" style="255" customWidth="1"/>
    <col min="12258" max="12258" width="0.85546875" style="255" customWidth="1"/>
    <col min="12259" max="12260" width="15.7109375" style="255" customWidth="1"/>
    <col min="12261" max="12261" width="0.85546875" style="255" customWidth="1"/>
    <col min="12262" max="12263" width="15.7109375" style="255" customWidth="1"/>
    <col min="12264" max="12264" width="0.85546875" style="255" customWidth="1"/>
    <col min="12265" max="12265" width="15.7109375" style="255" customWidth="1"/>
    <col min="12266" max="12266" width="0.85546875" style="255" customWidth="1"/>
    <col min="12267" max="12270" width="10.7109375" style="255" customWidth="1"/>
    <col min="12271" max="12273" width="11.42578125" style="255"/>
    <col min="12274" max="12274" width="11.85546875" style="255" bestFit="1" customWidth="1"/>
    <col min="12275" max="12506" width="11.42578125" style="255"/>
    <col min="12507" max="12507" width="4" style="255" customWidth="1"/>
    <col min="12508" max="12508" width="32.5703125" style="255" bestFit="1" customWidth="1"/>
    <col min="12509" max="12509" width="0.85546875" style="255" customWidth="1"/>
    <col min="12510" max="12510" width="10.7109375" style="255" customWidth="1"/>
    <col min="12511" max="12511" width="0.85546875" style="255" customWidth="1"/>
    <col min="12512" max="12513" width="15.7109375" style="255" customWidth="1"/>
    <col min="12514" max="12514" width="0.85546875" style="255" customWidth="1"/>
    <col min="12515" max="12516" width="15.7109375" style="255" customWidth="1"/>
    <col min="12517" max="12517" width="0.85546875" style="255" customWidth="1"/>
    <col min="12518" max="12519" width="15.7109375" style="255" customWidth="1"/>
    <col min="12520" max="12520" width="0.85546875" style="255" customWidth="1"/>
    <col min="12521" max="12521" width="15.7109375" style="255" customWidth="1"/>
    <col min="12522" max="12522" width="0.85546875" style="255" customWidth="1"/>
    <col min="12523" max="12526" width="10.7109375" style="255" customWidth="1"/>
    <col min="12527" max="12529" width="11.42578125" style="255"/>
    <col min="12530" max="12530" width="11.85546875" style="255" bestFit="1" customWidth="1"/>
    <col min="12531" max="12762" width="11.42578125" style="255"/>
    <col min="12763" max="12763" width="4" style="255" customWidth="1"/>
    <col min="12764" max="12764" width="32.5703125" style="255" bestFit="1" customWidth="1"/>
    <col min="12765" max="12765" width="0.85546875" style="255" customWidth="1"/>
    <col min="12766" max="12766" width="10.7109375" style="255" customWidth="1"/>
    <col min="12767" max="12767" width="0.85546875" style="255" customWidth="1"/>
    <col min="12768" max="12769" width="15.7109375" style="255" customWidth="1"/>
    <col min="12770" max="12770" width="0.85546875" style="255" customWidth="1"/>
    <col min="12771" max="12772" width="15.7109375" style="255" customWidth="1"/>
    <col min="12773" max="12773" width="0.85546875" style="255" customWidth="1"/>
    <col min="12774" max="12775" width="15.7109375" style="255" customWidth="1"/>
    <col min="12776" max="12776" width="0.85546875" style="255" customWidth="1"/>
    <col min="12777" max="12777" width="15.7109375" style="255" customWidth="1"/>
    <col min="12778" max="12778" width="0.85546875" style="255" customWidth="1"/>
    <col min="12779" max="12782" width="10.7109375" style="255" customWidth="1"/>
    <col min="12783" max="12785" width="11.42578125" style="255"/>
    <col min="12786" max="12786" width="11.85546875" style="255" bestFit="1" customWidth="1"/>
    <col min="12787" max="13018" width="11.42578125" style="255"/>
    <col min="13019" max="13019" width="4" style="255" customWidth="1"/>
    <col min="13020" max="13020" width="32.5703125" style="255" bestFit="1" customWidth="1"/>
    <col min="13021" max="13021" width="0.85546875" style="255" customWidth="1"/>
    <col min="13022" max="13022" width="10.7109375" style="255" customWidth="1"/>
    <col min="13023" max="13023" width="0.85546875" style="255" customWidth="1"/>
    <col min="13024" max="13025" width="15.7109375" style="255" customWidth="1"/>
    <col min="13026" max="13026" width="0.85546875" style="255" customWidth="1"/>
    <col min="13027" max="13028" width="15.7109375" style="255" customWidth="1"/>
    <col min="13029" max="13029" width="0.85546875" style="255" customWidth="1"/>
    <col min="13030" max="13031" width="15.7109375" style="255" customWidth="1"/>
    <col min="13032" max="13032" width="0.85546875" style="255" customWidth="1"/>
    <col min="13033" max="13033" width="15.7109375" style="255" customWidth="1"/>
    <col min="13034" max="13034" width="0.85546875" style="255" customWidth="1"/>
    <col min="13035" max="13038" width="10.7109375" style="255" customWidth="1"/>
    <col min="13039" max="13041" width="11.42578125" style="255"/>
    <col min="13042" max="13042" width="11.85546875" style="255" bestFit="1" customWidth="1"/>
    <col min="13043" max="13274" width="11.42578125" style="255"/>
    <col min="13275" max="13275" width="4" style="255" customWidth="1"/>
    <col min="13276" max="13276" width="32.5703125" style="255" bestFit="1" customWidth="1"/>
    <col min="13277" max="13277" width="0.85546875" style="255" customWidth="1"/>
    <col min="13278" max="13278" width="10.7109375" style="255" customWidth="1"/>
    <col min="13279" max="13279" width="0.85546875" style="255" customWidth="1"/>
    <col min="13280" max="13281" width="15.7109375" style="255" customWidth="1"/>
    <col min="13282" max="13282" width="0.85546875" style="255" customWidth="1"/>
    <col min="13283" max="13284" width="15.7109375" style="255" customWidth="1"/>
    <col min="13285" max="13285" width="0.85546875" style="255" customWidth="1"/>
    <col min="13286" max="13287" width="15.7109375" style="255" customWidth="1"/>
    <col min="13288" max="13288" width="0.85546875" style="255" customWidth="1"/>
    <col min="13289" max="13289" width="15.7109375" style="255" customWidth="1"/>
    <col min="13290" max="13290" width="0.85546875" style="255" customWidth="1"/>
    <col min="13291" max="13294" width="10.7109375" style="255" customWidth="1"/>
    <col min="13295" max="13297" width="11.42578125" style="255"/>
    <col min="13298" max="13298" width="11.85546875" style="255" bestFit="1" customWidth="1"/>
    <col min="13299" max="13530" width="11.42578125" style="255"/>
    <col min="13531" max="13531" width="4" style="255" customWidth="1"/>
    <col min="13532" max="13532" width="32.5703125" style="255" bestFit="1" customWidth="1"/>
    <col min="13533" max="13533" width="0.85546875" style="255" customWidth="1"/>
    <col min="13534" max="13534" width="10.7109375" style="255" customWidth="1"/>
    <col min="13535" max="13535" width="0.85546875" style="255" customWidth="1"/>
    <col min="13536" max="13537" width="15.7109375" style="255" customWidth="1"/>
    <col min="13538" max="13538" width="0.85546875" style="255" customWidth="1"/>
    <col min="13539" max="13540" width="15.7109375" style="255" customWidth="1"/>
    <col min="13541" max="13541" width="0.85546875" style="255" customWidth="1"/>
    <col min="13542" max="13543" width="15.7109375" style="255" customWidth="1"/>
    <col min="13544" max="13544" width="0.85546875" style="255" customWidth="1"/>
    <col min="13545" max="13545" width="15.7109375" style="255" customWidth="1"/>
    <col min="13546" max="13546" width="0.85546875" style="255" customWidth="1"/>
    <col min="13547" max="13550" width="10.7109375" style="255" customWidth="1"/>
    <col min="13551" max="13553" width="11.42578125" style="255"/>
    <col min="13554" max="13554" width="11.85546875" style="255" bestFit="1" customWidth="1"/>
    <col min="13555" max="13786" width="11.42578125" style="255"/>
    <col min="13787" max="13787" width="4" style="255" customWidth="1"/>
    <col min="13788" max="13788" width="32.5703125" style="255" bestFit="1" customWidth="1"/>
    <col min="13789" max="13789" width="0.85546875" style="255" customWidth="1"/>
    <col min="13790" max="13790" width="10.7109375" style="255" customWidth="1"/>
    <col min="13791" max="13791" width="0.85546875" style="255" customWidth="1"/>
    <col min="13792" max="13793" width="15.7109375" style="255" customWidth="1"/>
    <col min="13794" max="13794" width="0.85546875" style="255" customWidth="1"/>
    <col min="13795" max="13796" width="15.7109375" style="255" customWidth="1"/>
    <col min="13797" max="13797" width="0.85546875" style="255" customWidth="1"/>
    <col min="13798" max="13799" width="15.7109375" style="255" customWidth="1"/>
    <col min="13800" max="13800" width="0.85546875" style="255" customWidth="1"/>
    <col min="13801" max="13801" width="15.7109375" style="255" customWidth="1"/>
    <col min="13802" max="13802" width="0.85546875" style="255" customWidth="1"/>
    <col min="13803" max="13806" width="10.7109375" style="255" customWidth="1"/>
    <col min="13807" max="13809" width="11.42578125" style="255"/>
    <col min="13810" max="13810" width="11.85546875" style="255" bestFit="1" customWidth="1"/>
    <col min="13811" max="14042" width="11.42578125" style="255"/>
    <col min="14043" max="14043" width="4" style="255" customWidth="1"/>
    <col min="14044" max="14044" width="32.5703125" style="255" bestFit="1" customWidth="1"/>
    <col min="14045" max="14045" width="0.85546875" style="255" customWidth="1"/>
    <col min="14046" max="14046" width="10.7109375" style="255" customWidth="1"/>
    <col min="14047" max="14047" width="0.85546875" style="255" customWidth="1"/>
    <col min="14048" max="14049" width="15.7109375" style="255" customWidth="1"/>
    <col min="14050" max="14050" width="0.85546875" style="255" customWidth="1"/>
    <col min="14051" max="14052" width="15.7109375" style="255" customWidth="1"/>
    <col min="14053" max="14053" width="0.85546875" style="255" customWidth="1"/>
    <col min="14054" max="14055" width="15.7109375" style="255" customWidth="1"/>
    <col min="14056" max="14056" width="0.85546875" style="255" customWidth="1"/>
    <col min="14057" max="14057" width="15.7109375" style="255" customWidth="1"/>
    <col min="14058" max="14058" width="0.85546875" style="255" customWidth="1"/>
    <col min="14059" max="14062" width="10.7109375" style="255" customWidth="1"/>
    <col min="14063" max="14065" width="11.42578125" style="255"/>
    <col min="14066" max="14066" width="11.85546875" style="255" bestFit="1" customWidth="1"/>
    <col min="14067" max="14298" width="11.42578125" style="255"/>
    <col min="14299" max="14299" width="4" style="255" customWidth="1"/>
    <col min="14300" max="14300" width="32.5703125" style="255" bestFit="1" customWidth="1"/>
    <col min="14301" max="14301" width="0.85546875" style="255" customWidth="1"/>
    <col min="14302" max="14302" width="10.7109375" style="255" customWidth="1"/>
    <col min="14303" max="14303" width="0.85546875" style="255" customWidth="1"/>
    <col min="14304" max="14305" width="15.7109375" style="255" customWidth="1"/>
    <col min="14306" max="14306" width="0.85546875" style="255" customWidth="1"/>
    <col min="14307" max="14308" width="15.7109375" style="255" customWidth="1"/>
    <col min="14309" max="14309" width="0.85546875" style="255" customWidth="1"/>
    <col min="14310" max="14311" width="15.7109375" style="255" customWidth="1"/>
    <col min="14312" max="14312" width="0.85546875" style="255" customWidth="1"/>
    <col min="14313" max="14313" width="15.7109375" style="255" customWidth="1"/>
    <col min="14314" max="14314" width="0.85546875" style="255" customWidth="1"/>
    <col min="14315" max="14318" width="10.7109375" style="255" customWidth="1"/>
    <col min="14319" max="14321" width="11.42578125" style="255"/>
    <col min="14322" max="14322" width="11.85546875" style="255" bestFit="1" customWidth="1"/>
    <col min="14323" max="14554" width="11.42578125" style="255"/>
    <col min="14555" max="14555" width="4" style="255" customWidth="1"/>
    <col min="14556" max="14556" width="32.5703125" style="255" bestFit="1" customWidth="1"/>
    <col min="14557" max="14557" width="0.85546875" style="255" customWidth="1"/>
    <col min="14558" max="14558" width="10.7109375" style="255" customWidth="1"/>
    <col min="14559" max="14559" width="0.85546875" style="255" customWidth="1"/>
    <col min="14560" max="14561" width="15.7109375" style="255" customWidth="1"/>
    <col min="14562" max="14562" width="0.85546875" style="255" customWidth="1"/>
    <col min="14563" max="14564" width="15.7109375" style="255" customWidth="1"/>
    <col min="14565" max="14565" width="0.85546875" style="255" customWidth="1"/>
    <col min="14566" max="14567" width="15.7109375" style="255" customWidth="1"/>
    <col min="14568" max="14568" width="0.85546875" style="255" customWidth="1"/>
    <col min="14569" max="14569" width="15.7109375" style="255" customWidth="1"/>
    <col min="14570" max="14570" width="0.85546875" style="255" customWidth="1"/>
    <col min="14571" max="14574" width="10.7109375" style="255" customWidth="1"/>
    <col min="14575" max="14577" width="11.42578125" style="255"/>
    <col min="14578" max="14578" width="11.85546875" style="255" bestFit="1" customWidth="1"/>
    <col min="14579" max="14810" width="11.42578125" style="255"/>
    <col min="14811" max="14811" width="4" style="255" customWidth="1"/>
    <col min="14812" max="14812" width="32.5703125" style="255" bestFit="1" customWidth="1"/>
    <col min="14813" max="14813" width="0.85546875" style="255" customWidth="1"/>
    <col min="14814" max="14814" width="10.7109375" style="255" customWidth="1"/>
    <col min="14815" max="14815" width="0.85546875" style="255" customWidth="1"/>
    <col min="14816" max="14817" width="15.7109375" style="255" customWidth="1"/>
    <col min="14818" max="14818" width="0.85546875" style="255" customWidth="1"/>
    <col min="14819" max="14820" width="15.7109375" style="255" customWidth="1"/>
    <col min="14821" max="14821" width="0.85546875" style="255" customWidth="1"/>
    <col min="14822" max="14823" width="15.7109375" style="255" customWidth="1"/>
    <col min="14824" max="14824" width="0.85546875" style="255" customWidth="1"/>
    <col min="14825" max="14825" width="15.7109375" style="255" customWidth="1"/>
    <col min="14826" max="14826" width="0.85546875" style="255" customWidth="1"/>
    <col min="14827" max="14830" width="10.7109375" style="255" customWidth="1"/>
    <col min="14831" max="14833" width="11.42578125" style="255"/>
    <col min="14834" max="14834" width="11.85546875" style="255" bestFit="1" customWidth="1"/>
    <col min="14835" max="15066" width="11.42578125" style="255"/>
    <col min="15067" max="15067" width="4" style="255" customWidth="1"/>
    <col min="15068" max="15068" width="32.5703125" style="255" bestFit="1" customWidth="1"/>
    <col min="15069" max="15069" width="0.85546875" style="255" customWidth="1"/>
    <col min="15070" max="15070" width="10.7109375" style="255" customWidth="1"/>
    <col min="15071" max="15071" width="0.85546875" style="255" customWidth="1"/>
    <col min="15072" max="15073" width="15.7109375" style="255" customWidth="1"/>
    <col min="15074" max="15074" width="0.85546875" style="255" customWidth="1"/>
    <col min="15075" max="15076" width="15.7109375" style="255" customWidth="1"/>
    <col min="15077" max="15077" width="0.85546875" style="255" customWidth="1"/>
    <col min="15078" max="15079" width="15.7109375" style="255" customWidth="1"/>
    <col min="15080" max="15080" width="0.85546875" style="255" customWidth="1"/>
    <col min="15081" max="15081" width="15.7109375" style="255" customWidth="1"/>
    <col min="15082" max="15082" width="0.85546875" style="255" customWidth="1"/>
    <col min="15083" max="15086" width="10.7109375" style="255" customWidth="1"/>
    <col min="15087" max="15089" width="11.42578125" style="255"/>
    <col min="15090" max="15090" width="11.85546875" style="255" bestFit="1" customWidth="1"/>
    <col min="15091" max="15322" width="11.42578125" style="255"/>
    <col min="15323" max="15323" width="4" style="255" customWidth="1"/>
    <col min="15324" max="15324" width="32.5703125" style="255" bestFit="1" customWidth="1"/>
    <col min="15325" max="15325" width="0.85546875" style="255" customWidth="1"/>
    <col min="15326" max="15326" width="10.7109375" style="255" customWidth="1"/>
    <col min="15327" max="15327" width="0.85546875" style="255" customWidth="1"/>
    <col min="15328" max="15329" width="15.7109375" style="255" customWidth="1"/>
    <col min="15330" max="15330" width="0.85546875" style="255" customWidth="1"/>
    <col min="15331" max="15332" width="15.7109375" style="255" customWidth="1"/>
    <col min="15333" max="15333" width="0.85546875" style="255" customWidth="1"/>
    <col min="15334" max="15335" width="15.7109375" style="255" customWidth="1"/>
    <col min="15336" max="15336" width="0.85546875" style="255" customWidth="1"/>
    <col min="15337" max="15337" width="15.7109375" style="255" customWidth="1"/>
    <col min="15338" max="15338" width="0.85546875" style="255" customWidth="1"/>
    <col min="15339" max="15342" width="10.7109375" style="255" customWidth="1"/>
    <col min="15343" max="15345" width="11.42578125" style="255"/>
    <col min="15346" max="15346" width="11.85546875" style="255" bestFit="1" customWidth="1"/>
    <col min="15347" max="15578" width="11.42578125" style="255"/>
    <col min="15579" max="15579" width="4" style="255" customWidth="1"/>
    <col min="15580" max="15580" width="32.5703125" style="255" bestFit="1" customWidth="1"/>
    <col min="15581" max="15581" width="0.85546875" style="255" customWidth="1"/>
    <col min="15582" max="15582" width="10.7109375" style="255" customWidth="1"/>
    <col min="15583" max="15583" width="0.85546875" style="255" customWidth="1"/>
    <col min="15584" max="15585" width="15.7109375" style="255" customWidth="1"/>
    <col min="15586" max="15586" width="0.85546875" style="255" customWidth="1"/>
    <col min="15587" max="15588" width="15.7109375" style="255" customWidth="1"/>
    <col min="15589" max="15589" width="0.85546875" style="255" customWidth="1"/>
    <col min="15590" max="15591" width="15.7109375" style="255" customWidth="1"/>
    <col min="15592" max="15592" width="0.85546875" style="255" customWidth="1"/>
    <col min="15593" max="15593" width="15.7109375" style="255" customWidth="1"/>
    <col min="15594" max="15594" width="0.85546875" style="255" customWidth="1"/>
    <col min="15595" max="15598" width="10.7109375" style="255" customWidth="1"/>
    <col min="15599" max="15601" width="11.42578125" style="255"/>
    <col min="15602" max="15602" width="11.85546875" style="255" bestFit="1" customWidth="1"/>
    <col min="15603" max="15834" width="11.42578125" style="255"/>
    <col min="15835" max="15835" width="4" style="255" customWidth="1"/>
    <col min="15836" max="15836" width="32.5703125" style="255" bestFit="1" customWidth="1"/>
    <col min="15837" max="15837" width="0.85546875" style="255" customWidth="1"/>
    <col min="15838" max="15838" width="10.7109375" style="255" customWidth="1"/>
    <col min="15839" max="15839" width="0.85546875" style="255" customWidth="1"/>
    <col min="15840" max="15841" width="15.7109375" style="255" customWidth="1"/>
    <col min="15842" max="15842" width="0.85546875" style="255" customWidth="1"/>
    <col min="15843" max="15844" width="15.7109375" style="255" customWidth="1"/>
    <col min="15845" max="15845" width="0.85546875" style="255" customWidth="1"/>
    <col min="15846" max="15847" width="15.7109375" style="255" customWidth="1"/>
    <col min="15848" max="15848" width="0.85546875" style="255" customWidth="1"/>
    <col min="15849" max="15849" width="15.7109375" style="255" customWidth="1"/>
    <col min="15850" max="15850" width="0.85546875" style="255" customWidth="1"/>
    <col min="15851" max="15854" width="10.7109375" style="255" customWidth="1"/>
    <col min="15855" max="15857" width="11.42578125" style="255"/>
    <col min="15858" max="15858" width="11.85546875" style="255" bestFit="1" customWidth="1"/>
    <col min="15859" max="16090" width="11.42578125" style="255"/>
    <col min="16091" max="16091" width="4" style="255" customWidth="1"/>
    <col min="16092" max="16092" width="32.5703125" style="255" bestFit="1" customWidth="1"/>
    <col min="16093" max="16093" width="0.85546875" style="255" customWidth="1"/>
    <col min="16094" max="16094" width="10.7109375" style="255" customWidth="1"/>
    <col min="16095" max="16095" width="0.85546875" style="255" customWidth="1"/>
    <col min="16096" max="16097" width="15.7109375" style="255" customWidth="1"/>
    <col min="16098" max="16098" width="0.85546875" style="255" customWidth="1"/>
    <col min="16099" max="16100" width="15.7109375" style="255" customWidth="1"/>
    <col min="16101" max="16101" width="0.85546875" style="255" customWidth="1"/>
    <col min="16102" max="16103" width="15.7109375" style="255" customWidth="1"/>
    <col min="16104" max="16104" width="0.85546875" style="255" customWidth="1"/>
    <col min="16105" max="16105" width="15.7109375" style="255" customWidth="1"/>
    <col min="16106" max="16106" width="0.85546875" style="255" customWidth="1"/>
    <col min="16107" max="16110" width="10.7109375" style="255" customWidth="1"/>
    <col min="16111" max="16113" width="11.42578125" style="255"/>
    <col min="16114" max="16114" width="11.85546875" style="255" bestFit="1" customWidth="1"/>
    <col min="16115" max="16384" width="11.42578125" style="255"/>
  </cols>
  <sheetData>
    <row r="2" spans="2:31" ht="20.25" x14ac:dyDescent="0.25">
      <c r="B2" s="858" t="s">
        <v>145</v>
      </c>
      <c r="C2" s="858"/>
      <c r="D2" s="858"/>
      <c r="E2" s="858"/>
      <c r="F2" s="858"/>
      <c r="G2" s="858"/>
      <c r="H2" s="858"/>
      <c r="I2" s="858"/>
      <c r="J2" s="858"/>
      <c r="K2" s="858"/>
      <c r="L2" s="858"/>
      <c r="M2" s="858"/>
      <c r="N2" s="858"/>
      <c r="O2" s="858"/>
      <c r="P2" s="858"/>
      <c r="Q2" s="858"/>
      <c r="R2" s="858"/>
      <c r="S2" s="858"/>
      <c r="T2" s="858"/>
      <c r="U2" s="858"/>
    </row>
    <row r="3" spans="2:31" ht="20.25" x14ac:dyDescent="0.25">
      <c r="B3" s="429"/>
      <c r="C3" s="413"/>
      <c r="D3" s="413"/>
      <c r="E3" s="413"/>
      <c r="F3" s="649"/>
      <c r="G3" s="649"/>
      <c r="H3" s="649"/>
      <c r="I3" s="649"/>
      <c r="J3" s="649"/>
      <c r="K3" s="649"/>
      <c r="L3" s="649"/>
      <c r="M3" s="649"/>
      <c r="N3" s="649"/>
      <c r="O3" s="649"/>
      <c r="P3" s="413"/>
      <c r="Q3" s="413"/>
      <c r="R3" s="413"/>
      <c r="S3" s="413"/>
      <c r="T3" s="413"/>
    </row>
    <row r="4" spans="2:31" s="428" customFormat="1" ht="30" customHeight="1" x14ac:dyDescent="0.25">
      <c r="B4" s="430"/>
      <c r="F4" s="820" t="s">
        <v>170</v>
      </c>
      <c r="G4" s="821"/>
      <c r="H4" s="431"/>
      <c r="I4" s="822" t="str">
        <f>Production!I4</f>
        <v>Décembre 2025</v>
      </c>
      <c r="J4" s="823"/>
      <c r="K4" s="255"/>
      <c r="L4" s="824" t="str">
        <f>Production!L4</f>
        <v>Cumul à fin Décembre 2025</v>
      </c>
      <c r="M4" s="825"/>
      <c r="N4" s="8"/>
      <c r="O4" s="9" t="s">
        <v>0</v>
      </c>
      <c r="P4" s="431"/>
      <c r="Q4" s="859" t="s">
        <v>1</v>
      </c>
      <c r="R4" s="860"/>
      <c r="S4" s="860"/>
      <c r="T4" s="860"/>
      <c r="U4" s="861"/>
    </row>
    <row r="5" spans="2:31" s="428" customFormat="1" ht="30" customHeight="1" x14ac:dyDescent="0.25">
      <c r="B5" s="427"/>
      <c r="D5" s="432"/>
      <c r="F5" s="613" t="str">
        <f>Production!F5</f>
        <v>Décembre</v>
      </c>
      <c r="G5" s="613" t="str">
        <f>Production!G5</f>
        <v>Cumul à fin décembre</v>
      </c>
      <c r="H5" s="614"/>
      <c r="I5" s="11" t="s">
        <v>2</v>
      </c>
      <c r="J5" s="11" t="s">
        <v>3</v>
      </c>
      <c r="K5" s="255"/>
      <c r="L5" s="11" t="s">
        <v>2</v>
      </c>
      <c r="M5" s="11" t="s">
        <v>3</v>
      </c>
      <c r="N5" s="12"/>
      <c r="O5" s="13">
        <v>2025</v>
      </c>
      <c r="P5" s="431"/>
      <c r="Q5" s="862" t="s">
        <v>3</v>
      </c>
      <c r="R5" s="863"/>
      <c r="S5" s="864"/>
      <c r="T5" s="859" t="s">
        <v>4</v>
      </c>
      <c r="U5" s="861"/>
    </row>
    <row r="6" spans="2:31" s="256" customFormat="1" ht="21.95" customHeight="1" x14ac:dyDescent="0.25">
      <c r="B6" s="414" t="s">
        <v>146</v>
      </c>
      <c r="C6" s="415"/>
      <c r="D6" s="416"/>
      <c r="F6" s="433" t="s">
        <v>6</v>
      </c>
      <c r="G6" s="434" t="s">
        <v>7</v>
      </c>
      <c r="H6" s="435"/>
      <c r="I6" s="434" t="s">
        <v>8</v>
      </c>
      <c r="J6" s="434" t="s">
        <v>9</v>
      </c>
      <c r="K6" s="433"/>
      <c r="L6" s="433" t="s">
        <v>10</v>
      </c>
      <c r="M6" s="433" t="s">
        <v>11</v>
      </c>
      <c r="N6" s="433"/>
      <c r="O6" s="434" t="s">
        <v>12</v>
      </c>
      <c r="P6" s="436"/>
      <c r="Q6" s="437" t="s">
        <v>13</v>
      </c>
      <c r="R6" s="437" t="s">
        <v>14</v>
      </c>
      <c r="S6" s="437" t="s">
        <v>15</v>
      </c>
      <c r="T6" s="437" t="s">
        <v>158</v>
      </c>
      <c r="U6" s="437" t="s">
        <v>159</v>
      </c>
    </row>
    <row r="7" spans="2:31" s="438" customFormat="1" ht="21.95" customHeight="1" x14ac:dyDescent="0.25">
      <c r="B7" s="417" t="s">
        <v>147</v>
      </c>
      <c r="C7" s="415"/>
      <c r="D7" s="855" t="s">
        <v>148</v>
      </c>
      <c r="E7" s="431"/>
      <c r="F7" s="522"/>
      <c r="G7" s="546"/>
      <c r="H7" s="138"/>
      <c r="I7" s="522"/>
      <c r="J7" s="798"/>
      <c r="K7" s="247"/>
      <c r="L7" s="522"/>
      <c r="M7" s="522"/>
      <c r="N7" s="138"/>
      <c r="O7" s="439"/>
      <c r="Q7" s="440" t="str">
        <f>IFERROR(J7/I7,"-")</f>
        <v>-</v>
      </c>
      <c r="R7" s="441" t="str">
        <f>IFERROR(M7/L7,"-")</f>
        <v>-</v>
      </c>
      <c r="S7" s="442" t="str">
        <f>IFERROR(M7/O7,"-")</f>
        <v>-</v>
      </c>
      <c r="T7" s="800" t="str">
        <f>IFERROR(J7/F7-1,"-")</f>
        <v>-</v>
      </c>
      <c r="U7" s="494" t="str">
        <f>IFERROR(M7/G7-1,"-")</f>
        <v>-</v>
      </c>
      <c r="V7" s="657"/>
      <c r="W7" s="657"/>
      <c r="X7" s="657"/>
      <c r="Y7" s="657"/>
      <c r="Z7" s="657"/>
      <c r="AA7" s="657"/>
      <c r="AB7" s="657"/>
      <c r="AC7" s="657"/>
      <c r="AD7" s="657"/>
      <c r="AE7" s="657"/>
    </row>
    <row r="8" spans="2:31" s="438" customFormat="1" ht="21.95" customHeight="1" x14ac:dyDescent="0.25">
      <c r="B8" s="418" t="s">
        <v>149</v>
      </c>
      <c r="C8" s="415"/>
      <c r="D8" s="856"/>
      <c r="E8" s="431"/>
      <c r="F8" s="481"/>
      <c r="G8" s="532"/>
      <c r="H8" s="138"/>
      <c r="I8" s="137"/>
      <c r="J8" s="137"/>
      <c r="K8" s="247"/>
      <c r="L8" s="137"/>
      <c r="M8" s="137"/>
      <c r="N8" s="138"/>
      <c r="O8" s="137"/>
      <c r="Q8" s="443" t="str">
        <f t="shared" ref="Q8:Q26" si="0">IFERROR(J8/I8,"-")</f>
        <v>-</v>
      </c>
      <c r="R8" s="444" t="str">
        <f t="shared" ref="R8:R26" si="1">IFERROR(M8/L8,"-")</f>
        <v>-</v>
      </c>
      <c r="S8" s="445" t="str">
        <f t="shared" ref="S8:S26" si="2">IFERROR(M8/O8,"-")</f>
        <v>-</v>
      </c>
      <c r="T8" s="443" t="str">
        <f t="shared" ref="T8:T26" si="3">IFERROR(J8/F8-1,"-")</f>
        <v>-</v>
      </c>
      <c r="U8" s="495" t="str">
        <f t="shared" ref="U8:U29" si="4">IFERROR(M8/G8-1,"-")</f>
        <v>-</v>
      </c>
      <c r="V8" s="657"/>
      <c r="W8" s="657"/>
      <c r="X8" s="657"/>
      <c r="Y8" s="657"/>
      <c r="Z8" s="657"/>
      <c r="AA8" s="657"/>
      <c r="AB8" s="657"/>
      <c r="AC8" s="657"/>
      <c r="AD8" s="657"/>
      <c r="AE8" s="657"/>
    </row>
    <row r="9" spans="2:31" s="438" customFormat="1" ht="21.95" customHeight="1" x14ac:dyDescent="0.25">
      <c r="B9" s="418" t="s">
        <v>150</v>
      </c>
      <c r="C9" s="415"/>
      <c r="D9" s="856"/>
      <c r="E9" s="431"/>
      <c r="F9" s="481"/>
      <c r="G9" s="532"/>
      <c r="H9" s="138"/>
      <c r="I9" s="137"/>
      <c r="J9" s="137"/>
      <c r="K9" s="247"/>
      <c r="L9" s="137"/>
      <c r="M9" s="137"/>
      <c r="N9" s="138"/>
      <c r="O9" s="137"/>
      <c r="Q9" s="443" t="str">
        <f t="shared" si="0"/>
        <v>-</v>
      </c>
      <c r="R9" s="444" t="str">
        <f t="shared" si="1"/>
        <v>-</v>
      </c>
      <c r="S9" s="445" t="str">
        <f t="shared" si="2"/>
        <v>-</v>
      </c>
      <c r="T9" s="443" t="str">
        <f t="shared" si="3"/>
        <v>-</v>
      </c>
      <c r="U9" s="495" t="str">
        <f t="shared" si="4"/>
        <v>-</v>
      </c>
      <c r="V9" s="657"/>
      <c r="W9" s="657"/>
      <c r="X9" s="657"/>
      <c r="Y9" s="657"/>
      <c r="Z9" s="657"/>
      <c r="AA9" s="657"/>
      <c r="AB9" s="657"/>
      <c r="AC9" s="657"/>
      <c r="AD9" s="657"/>
      <c r="AE9" s="657"/>
    </row>
    <row r="10" spans="2:31" s="438" customFormat="1" ht="21.95" customHeight="1" x14ac:dyDescent="0.25">
      <c r="B10" s="419" t="s">
        <v>151</v>
      </c>
      <c r="C10" s="415"/>
      <c r="D10" s="857"/>
      <c r="E10" s="431"/>
      <c r="F10" s="698"/>
      <c r="G10" s="246"/>
      <c r="H10" s="138"/>
      <c r="I10" s="723"/>
      <c r="J10" s="239"/>
      <c r="K10" s="247"/>
      <c r="L10" s="239"/>
      <c r="M10" s="239"/>
      <c r="N10" s="138"/>
      <c r="O10" s="239"/>
      <c r="Q10" s="446" t="str">
        <f t="shared" si="0"/>
        <v>-</v>
      </c>
      <c r="R10" s="447" t="str">
        <f t="shared" si="1"/>
        <v>-</v>
      </c>
      <c r="S10" s="448" t="str">
        <f t="shared" si="2"/>
        <v>-</v>
      </c>
      <c r="T10" s="446" t="str">
        <f t="shared" si="3"/>
        <v>-</v>
      </c>
      <c r="U10" s="496" t="str">
        <f t="shared" si="4"/>
        <v>-</v>
      </c>
      <c r="V10" s="657"/>
      <c r="W10" s="657"/>
      <c r="X10" s="657"/>
      <c r="Y10" s="657"/>
      <c r="Z10" s="657"/>
      <c r="AA10" s="657"/>
      <c r="AB10" s="657"/>
      <c r="AC10" s="657"/>
      <c r="AD10" s="657"/>
      <c r="AE10" s="657"/>
    </row>
    <row r="11" spans="2:31" ht="12" customHeight="1" x14ac:dyDescent="0.25">
      <c r="B11" s="420"/>
      <c r="C11" s="415"/>
      <c r="D11" s="421"/>
      <c r="E11" s="421"/>
      <c r="F11" s="663"/>
      <c r="G11" s="663"/>
      <c r="H11" s="663"/>
      <c r="I11" s="663"/>
      <c r="J11" s="663"/>
      <c r="K11" s="663"/>
      <c r="L11" s="663"/>
      <c r="M11" s="663"/>
      <c r="N11" s="663"/>
      <c r="O11" s="663"/>
      <c r="P11" s="421"/>
      <c r="Q11" s="444"/>
      <c r="R11" s="444"/>
      <c r="S11" s="444"/>
      <c r="T11" s="444"/>
      <c r="U11" s="497"/>
      <c r="V11" s="657"/>
      <c r="W11" s="657"/>
      <c r="X11" s="657"/>
      <c r="Y11" s="657"/>
      <c r="Z11" s="657"/>
      <c r="AA11" s="657"/>
      <c r="AB11" s="657"/>
      <c r="AC11" s="657"/>
      <c r="AD11" s="657"/>
      <c r="AE11" s="657"/>
    </row>
    <row r="12" spans="2:31" s="428" customFormat="1" ht="21.95" customHeight="1" x14ac:dyDescent="0.25">
      <c r="B12" s="414" t="s">
        <v>152</v>
      </c>
      <c r="C12" s="415"/>
      <c r="D12" s="416"/>
      <c r="F12" s="139"/>
      <c r="G12" s="139"/>
      <c r="H12" s="139"/>
      <c r="I12" s="139"/>
      <c r="J12" s="139"/>
      <c r="K12" s="139"/>
      <c r="L12" s="139"/>
      <c r="M12" s="139"/>
      <c r="N12" s="140"/>
      <c r="O12" s="139"/>
      <c r="P12" s="449"/>
      <c r="Q12" s="447"/>
      <c r="R12" s="447"/>
      <c r="S12" s="447"/>
      <c r="T12" s="447"/>
      <c r="U12" s="498"/>
      <c r="V12" s="657"/>
      <c r="W12" s="657"/>
      <c r="X12" s="657"/>
      <c r="Y12" s="657"/>
      <c r="Z12" s="657"/>
      <c r="AA12" s="657"/>
      <c r="AB12" s="657"/>
      <c r="AC12" s="657"/>
      <c r="AD12" s="657"/>
      <c r="AE12" s="657"/>
    </row>
    <row r="13" spans="2:31" s="438" customFormat="1" ht="21.95" customHeight="1" x14ac:dyDescent="0.25">
      <c r="B13" s="422" t="s">
        <v>153</v>
      </c>
      <c r="C13" s="415"/>
      <c r="D13" s="423" t="s">
        <v>148</v>
      </c>
      <c r="E13" s="431"/>
      <c r="F13" s="567"/>
      <c r="G13" s="567"/>
      <c r="H13" s="138"/>
      <c r="I13" s="548"/>
      <c r="J13" s="567"/>
      <c r="K13" s="247"/>
      <c r="L13" s="451"/>
      <c r="M13" s="488"/>
      <c r="N13" s="138"/>
      <c r="O13" s="451"/>
      <c r="Q13" s="440" t="str">
        <f t="shared" si="0"/>
        <v>-</v>
      </c>
      <c r="R13" s="441" t="str">
        <f t="shared" si="1"/>
        <v>-</v>
      </c>
      <c r="S13" s="442" t="str">
        <f t="shared" si="2"/>
        <v>-</v>
      </c>
      <c r="T13" s="440" t="str">
        <f t="shared" si="3"/>
        <v>-</v>
      </c>
      <c r="U13" s="494" t="str">
        <f t="shared" si="4"/>
        <v>-</v>
      </c>
      <c r="V13" s="657"/>
      <c r="W13" s="657"/>
      <c r="X13" s="657"/>
      <c r="Y13" s="657"/>
      <c r="Z13" s="657"/>
      <c r="AA13" s="657"/>
      <c r="AB13" s="657"/>
      <c r="AC13" s="657"/>
      <c r="AD13" s="657"/>
      <c r="AE13" s="657"/>
    </row>
    <row r="14" spans="2:31" s="438" customFormat="1" ht="12" customHeight="1" x14ac:dyDescent="0.25">
      <c r="B14" s="424"/>
      <c r="C14" s="415"/>
      <c r="D14" s="416"/>
      <c r="E14" s="416"/>
      <c r="F14" s="416"/>
      <c r="G14" s="416"/>
      <c r="H14" s="416"/>
      <c r="I14" s="416"/>
      <c r="J14" s="416"/>
      <c r="K14" s="416"/>
      <c r="L14" s="416"/>
      <c r="M14" s="416"/>
      <c r="N14" s="416"/>
      <c r="O14" s="416"/>
      <c r="P14" s="416"/>
      <c r="Q14" s="441"/>
      <c r="R14" s="441"/>
      <c r="S14" s="441"/>
      <c r="T14" s="441"/>
      <c r="U14" s="499"/>
      <c r="V14" s="657"/>
      <c r="W14" s="657"/>
      <c r="X14" s="657"/>
      <c r="Y14" s="657"/>
      <c r="Z14" s="657"/>
      <c r="AA14" s="657"/>
      <c r="AB14" s="657"/>
      <c r="AC14" s="657"/>
      <c r="AD14" s="657"/>
      <c r="AE14" s="657"/>
    </row>
    <row r="15" spans="2:31" s="428" customFormat="1" ht="21.95" customHeight="1" x14ac:dyDescent="0.25">
      <c r="B15" s="414" t="s">
        <v>177</v>
      </c>
      <c r="C15" s="415"/>
      <c r="D15" s="416"/>
      <c r="F15" s="139"/>
      <c r="G15" s="139"/>
      <c r="H15" s="139"/>
      <c r="I15" s="139"/>
      <c r="J15" s="139"/>
      <c r="K15" s="139"/>
      <c r="L15" s="139"/>
      <c r="M15" s="139"/>
      <c r="N15" s="140"/>
      <c r="O15" s="139"/>
      <c r="P15" s="449"/>
      <c r="Q15" s="447"/>
      <c r="R15" s="447"/>
      <c r="S15" s="447"/>
      <c r="T15" s="447"/>
      <c r="U15" s="498"/>
      <c r="V15" s="657"/>
      <c r="W15" s="657"/>
      <c r="X15" s="657"/>
      <c r="Y15" s="657"/>
      <c r="Z15" s="657"/>
      <c r="AA15" s="657"/>
      <c r="AB15" s="657"/>
      <c r="AC15" s="657"/>
      <c r="AD15" s="657"/>
      <c r="AE15" s="657"/>
    </row>
    <row r="16" spans="2:31" s="438" customFormat="1" ht="21.95" customHeight="1" x14ac:dyDescent="0.25">
      <c r="B16" s="422" t="s">
        <v>153</v>
      </c>
      <c r="C16" s="415"/>
      <c r="D16" s="423" t="s">
        <v>148</v>
      </c>
      <c r="E16" s="431"/>
      <c r="F16" s="567"/>
      <c r="G16" s="567"/>
      <c r="H16" s="138"/>
      <c r="I16" s="548"/>
      <c r="J16" s="567"/>
      <c r="K16" s="247"/>
      <c r="L16" s="567"/>
      <c r="M16" s="567"/>
      <c r="N16" s="138"/>
      <c r="O16" s="451"/>
      <c r="Q16" s="642" t="str">
        <f>IFERROR(J16/I16,"-")</f>
        <v>-</v>
      </c>
      <c r="R16" s="643" t="str">
        <f>IFERROR(M16/L16,"-")</f>
        <v>-</v>
      </c>
      <c r="S16" s="644" t="str">
        <f>IFERROR(M16/O16,"-")</f>
        <v>-</v>
      </c>
      <c r="T16" s="642" t="str">
        <f>IFERROR(J16/F16-1,"-")</f>
        <v>-</v>
      </c>
      <c r="U16" s="645" t="str">
        <f t="shared" si="4"/>
        <v>-</v>
      </c>
      <c r="V16" s="657"/>
      <c r="W16" s="657"/>
      <c r="X16" s="657"/>
      <c r="Y16" s="657"/>
      <c r="Z16" s="657"/>
      <c r="AA16" s="657"/>
      <c r="AB16" s="657"/>
      <c r="AC16" s="657"/>
      <c r="AD16" s="657"/>
      <c r="AE16" s="657"/>
    </row>
    <row r="17" spans="2:31" s="438" customFormat="1" ht="12" customHeight="1" x14ac:dyDescent="0.25">
      <c r="B17" s="424"/>
      <c r="C17" s="415"/>
      <c r="D17" s="416"/>
      <c r="E17" s="416"/>
      <c r="F17" s="416"/>
      <c r="G17" s="416"/>
      <c r="H17" s="416"/>
      <c r="I17" s="416"/>
      <c r="J17" s="416"/>
      <c r="K17" s="416"/>
      <c r="L17" s="416"/>
      <c r="M17" s="416"/>
      <c r="N17" s="416"/>
      <c r="O17" s="416"/>
      <c r="P17" s="416"/>
      <c r="Q17" s="444"/>
      <c r="R17" s="444"/>
      <c r="S17" s="444"/>
      <c r="T17" s="444"/>
      <c r="U17" s="497"/>
      <c r="V17" s="657"/>
      <c r="W17" s="657"/>
      <c r="X17" s="657"/>
      <c r="Y17" s="657"/>
      <c r="Z17" s="657"/>
      <c r="AA17" s="657"/>
      <c r="AB17" s="657"/>
      <c r="AC17" s="657"/>
      <c r="AD17" s="657"/>
      <c r="AE17" s="657"/>
    </row>
    <row r="18" spans="2:31" s="438" customFormat="1" ht="21.95" customHeight="1" x14ac:dyDescent="0.25">
      <c r="B18" s="425" t="s">
        <v>154</v>
      </c>
      <c r="C18" s="415"/>
      <c r="D18" s="426"/>
      <c r="E18" s="431"/>
      <c r="F18" s="650"/>
      <c r="G18" s="650"/>
      <c r="H18" s="650"/>
      <c r="I18" s="650"/>
      <c r="J18" s="650"/>
      <c r="K18" s="650"/>
      <c r="L18" s="650"/>
      <c r="M18" s="650"/>
      <c r="N18" s="650"/>
      <c r="O18" s="650"/>
      <c r="Q18" s="447"/>
      <c r="R18" s="447"/>
      <c r="S18" s="447"/>
      <c r="T18" s="447"/>
      <c r="U18" s="498"/>
      <c r="V18" s="657"/>
      <c r="W18" s="657"/>
      <c r="X18" s="657"/>
      <c r="Y18" s="657"/>
      <c r="Z18" s="657"/>
      <c r="AA18" s="657"/>
      <c r="AB18" s="657"/>
      <c r="AC18" s="657"/>
      <c r="AD18" s="657"/>
      <c r="AE18" s="657"/>
    </row>
    <row r="19" spans="2:31" s="438" customFormat="1" ht="21.95" customHeight="1" x14ac:dyDescent="0.25">
      <c r="B19" s="417" t="s">
        <v>157</v>
      </c>
      <c r="C19" s="415"/>
      <c r="D19" s="855" t="s">
        <v>148</v>
      </c>
      <c r="E19" s="431"/>
      <c r="F19" s="522"/>
      <c r="G19" s="546"/>
      <c r="H19" s="138"/>
      <c r="I19" s="523"/>
      <c r="J19" s="522"/>
      <c r="K19" s="247"/>
      <c r="L19" s="522"/>
      <c r="M19" s="522"/>
      <c r="N19" s="138"/>
      <c r="O19" s="439"/>
      <c r="Q19" s="440" t="str">
        <f t="shared" si="0"/>
        <v>-</v>
      </c>
      <c r="R19" s="441" t="str">
        <f t="shared" si="1"/>
        <v>-</v>
      </c>
      <c r="S19" s="442" t="str">
        <f t="shared" si="2"/>
        <v>-</v>
      </c>
      <c r="T19" s="440" t="str">
        <f t="shared" si="3"/>
        <v>-</v>
      </c>
      <c r="U19" s="494" t="str">
        <f t="shared" si="4"/>
        <v>-</v>
      </c>
      <c r="V19" s="657"/>
      <c r="W19" s="657"/>
      <c r="X19" s="657"/>
      <c r="Y19" s="657"/>
      <c r="Z19" s="657"/>
      <c r="AA19" s="657"/>
      <c r="AB19" s="657"/>
      <c r="AC19" s="657"/>
      <c r="AD19" s="657"/>
      <c r="AE19" s="657"/>
    </row>
    <row r="20" spans="2:31" s="438" customFormat="1" ht="21.95" customHeight="1" x14ac:dyDescent="0.25">
      <c r="B20" s="418" t="s">
        <v>156</v>
      </c>
      <c r="C20" s="415"/>
      <c r="D20" s="856"/>
      <c r="E20" s="431"/>
      <c r="F20" s="660"/>
      <c r="G20" s="245"/>
      <c r="H20" s="138"/>
      <c r="I20" s="237"/>
      <c r="J20" s="660"/>
      <c r="K20" s="247"/>
      <c r="L20" s="137"/>
      <c r="M20" s="137"/>
      <c r="N20" s="138"/>
      <c r="O20" s="137"/>
      <c r="Q20" s="443" t="str">
        <f t="shared" ref="Q20" si="5">IFERROR(J20/I20,"-")</f>
        <v>-</v>
      </c>
      <c r="R20" s="444" t="str">
        <f t="shared" ref="R20" si="6">IFERROR(M20/L20,"-")</f>
        <v>-</v>
      </c>
      <c r="S20" s="445" t="str">
        <f t="shared" ref="S20" si="7">IFERROR(M20/O20,"-")</f>
        <v>-</v>
      </c>
      <c r="T20" s="443" t="str">
        <f t="shared" ref="T20" si="8">IFERROR(J20/F20-1,"-")</f>
        <v>-</v>
      </c>
      <c r="U20" s="495" t="str">
        <f t="shared" si="4"/>
        <v>-</v>
      </c>
      <c r="V20" s="657"/>
      <c r="W20" s="657"/>
      <c r="X20" s="657"/>
      <c r="Y20" s="657"/>
      <c r="Z20" s="657"/>
      <c r="AA20" s="657"/>
      <c r="AB20" s="657"/>
      <c r="AC20" s="657"/>
      <c r="AD20" s="657"/>
      <c r="AE20" s="657"/>
    </row>
    <row r="21" spans="2:31" s="438" customFormat="1" ht="21.95" customHeight="1" x14ac:dyDescent="0.25">
      <c r="B21" s="418" t="s">
        <v>149</v>
      </c>
      <c r="C21" s="415"/>
      <c r="D21" s="856"/>
      <c r="E21" s="431"/>
      <c r="F21" s="137"/>
      <c r="G21" s="245"/>
      <c r="H21" s="138"/>
      <c r="I21" s="547"/>
      <c r="J21" s="137"/>
      <c r="K21" s="247"/>
      <c r="L21" s="137"/>
      <c r="M21" s="137"/>
      <c r="N21" s="138"/>
      <c r="O21" s="137"/>
      <c r="Q21" s="443" t="str">
        <f t="shared" si="0"/>
        <v>-</v>
      </c>
      <c r="R21" s="444" t="str">
        <f t="shared" si="1"/>
        <v>-</v>
      </c>
      <c r="S21" s="445" t="str">
        <f t="shared" si="2"/>
        <v>-</v>
      </c>
      <c r="T21" s="443" t="str">
        <f t="shared" si="3"/>
        <v>-</v>
      </c>
      <c r="U21" s="495" t="str">
        <f t="shared" si="4"/>
        <v>-</v>
      </c>
      <c r="V21" s="657"/>
      <c r="W21" s="657"/>
      <c r="X21" s="657"/>
      <c r="Y21" s="657"/>
      <c r="Z21" s="657"/>
      <c r="AA21" s="657"/>
      <c r="AB21" s="657"/>
      <c r="AC21" s="657"/>
      <c r="AD21" s="657"/>
      <c r="AE21" s="657"/>
    </row>
    <row r="22" spans="2:31" s="438" customFormat="1" ht="21.95" customHeight="1" x14ac:dyDescent="0.25">
      <c r="B22" s="418" t="s">
        <v>150</v>
      </c>
      <c r="C22" s="415"/>
      <c r="D22" s="856"/>
      <c r="E22" s="431"/>
      <c r="F22" s="137"/>
      <c r="G22" s="245"/>
      <c r="H22" s="138"/>
      <c r="I22" s="237"/>
      <c r="J22" s="137"/>
      <c r="K22" s="247"/>
      <c r="L22" s="137"/>
      <c r="M22" s="137"/>
      <c r="N22" s="138"/>
      <c r="O22" s="137"/>
      <c r="Q22" s="443" t="str">
        <f t="shared" si="0"/>
        <v>-</v>
      </c>
      <c r="R22" s="444" t="str">
        <f t="shared" si="1"/>
        <v>-</v>
      </c>
      <c r="S22" s="445" t="str">
        <f t="shared" si="2"/>
        <v>-</v>
      </c>
      <c r="T22" s="443" t="str">
        <f t="shared" si="3"/>
        <v>-</v>
      </c>
      <c r="U22" s="495" t="str">
        <f t="shared" si="4"/>
        <v>-</v>
      </c>
      <c r="V22" s="657"/>
      <c r="W22" s="657"/>
      <c r="X22" s="657"/>
      <c r="Y22" s="657"/>
      <c r="Z22" s="657"/>
      <c r="AA22" s="657"/>
      <c r="AB22" s="657"/>
      <c r="AC22" s="657"/>
      <c r="AD22" s="657"/>
      <c r="AE22" s="657"/>
    </row>
    <row r="23" spans="2:31" s="438" customFormat="1" ht="21.95" customHeight="1" x14ac:dyDescent="0.25">
      <c r="B23" s="419" t="s">
        <v>151</v>
      </c>
      <c r="C23" s="415"/>
      <c r="D23" s="857"/>
      <c r="E23" s="431"/>
      <c r="F23" s="239"/>
      <c r="G23" s="246"/>
      <c r="H23" s="138"/>
      <c r="I23" s="238"/>
      <c r="J23" s="239"/>
      <c r="K23" s="247"/>
      <c r="L23" s="239"/>
      <c r="M23" s="239"/>
      <c r="N23" s="138"/>
      <c r="O23" s="239"/>
      <c r="Q23" s="446" t="str">
        <f t="shared" si="0"/>
        <v>-</v>
      </c>
      <c r="R23" s="447" t="str">
        <f t="shared" si="1"/>
        <v>-</v>
      </c>
      <c r="S23" s="448" t="str">
        <f t="shared" si="2"/>
        <v>-</v>
      </c>
      <c r="T23" s="446" t="str">
        <f t="shared" si="3"/>
        <v>-</v>
      </c>
      <c r="U23" s="496" t="str">
        <f t="shared" si="4"/>
        <v>-</v>
      </c>
      <c r="V23" s="657"/>
      <c r="W23" s="657"/>
      <c r="X23" s="657"/>
      <c r="Y23" s="657"/>
      <c r="Z23" s="657"/>
      <c r="AA23" s="657"/>
      <c r="AB23" s="657"/>
      <c r="AC23" s="657"/>
      <c r="AD23" s="657"/>
      <c r="AE23" s="657"/>
    </row>
    <row r="24" spans="2:31" ht="12" customHeight="1" x14ac:dyDescent="0.25">
      <c r="B24" s="420"/>
      <c r="C24" s="415"/>
      <c r="D24" s="421"/>
      <c r="E24" s="421"/>
      <c r="F24" s="664"/>
      <c r="G24" s="664"/>
      <c r="H24" s="664"/>
      <c r="I24" s="664"/>
      <c r="J24" s="664"/>
      <c r="K24" s="664"/>
      <c r="L24" s="664"/>
      <c r="M24" s="664"/>
      <c r="N24" s="664"/>
      <c r="O24" s="664"/>
      <c r="P24" s="421"/>
      <c r="Q24" s="444"/>
      <c r="R24" s="444"/>
      <c r="S24" s="444"/>
      <c r="T24" s="444"/>
      <c r="U24" s="450"/>
      <c r="V24" s="657"/>
      <c r="W24" s="657"/>
      <c r="X24" s="657"/>
      <c r="Y24" s="657"/>
      <c r="Z24" s="657"/>
      <c r="AA24" s="657"/>
      <c r="AB24" s="657"/>
      <c r="AC24" s="657"/>
      <c r="AD24" s="657"/>
      <c r="AE24" s="657"/>
    </row>
    <row r="25" spans="2:31" s="428" customFormat="1" ht="21.95" customHeight="1" x14ac:dyDescent="0.25">
      <c r="B25" s="414" t="s">
        <v>155</v>
      </c>
      <c r="C25" s="415"/>
      <c r="D25" s="416"/>
      <c r="F25" s="139"/>
      <c r="G25" s="139"/>
      <c r="H25" s="139"/>
      <c r="J25" s="139"/>
      <c r="K25" s="139"/>
      <c r="L25" s="139"/>
      <c r="M25" s="139"/>
      <c r="N25" s="140"/>
      <c r="P25" s="449"/>
      <c r="Q25" s="447"/>
      <c r="R25" s="447"/>
      <c r="S25" s="447"/>
      <c r="T25" s="447"/>
      <c r="U25" s="466"/>
      <c r="V25" s="657"/>
      <c r="W25" s="657"/>
      <c r="X25" s="657"/>
      <c r="Y25" s="657"/>
      <c r="Z25" s="657"/>
      <c r="AA25" s="657"/>
      <c r="AB25" s="657"/>
      <c r="AC25" s="657"/>
      <c r="AD25" s="657"/>
      <c r="AE25" s="657"/>
    </row>
    <row r="26" spans="2:31" s="438" customFormat="1" ht="21.95" customHeight="1" x14ac:dyDescent="0.25">
      <c r="B26" s="422" t="s">
        <v>153</v>
      </c>
      <c r="C26" s="415"/>
      <c r="D26" s="423" t="s">
        <v>148</v>
      </c>
      <c r="E26" s="431"/>
      <c r="F26" s="568"/>
      <c r="G26" s="568"/>
      <c r="H26" s="569"/>
      <c r="I26" s="568"/>
      <c r="J26" s="568"/>
      <c r="K26" s="569"/>
      <c r="L26" s="568"/>
      <c r="M26" s="568"/>
      <c r="N26" s="138"/>
      <c r="O26" s="451"/>
      <c r="Q26" s="452" t="str">
        <f t="shared" si="0"/>
        <v>-</v>
      </c>
      <c r="R26" s="453" t="str">
        <f t="shared" si="1"/>
        <v>-</v>
      </c>
      <c r="S26" s="454" t="str">
        <f t="shared" si="2"/>
        <v>-</v>
      </c>
      <c r="T26" s="452" t="str">
        <f t="shared" si="3"/>
        <v>-</v>
      </c>
      <c r="U26" s="503" t="str">
        <f t="shared" si="4"/>
        <v>-</v>
      </c>
      <c r="V26" s="657"/>
      <c r="W26" s="657"/>
      <c r="X26" s="657"/>
      <c r="Y26" s="657"/>
      <c r="Z26" s="657"/>
      <c r="AA26" s="657"/>
      <c r="AB26" s="657"/>
      <c r="AC26" s="657"/>
      <c r="AD26" s="657"/>
      <c r="AE26" s="657"/>
    </row>
    <row r="27" spans="2:31" x14ac:dyDescent="0.25">
      <c r="F27" s="456"/>
      <c r="G27" s="456"/>
      <c r="H27" s="456"/>
      <c r="I27" s="456"/>
      <c r="J27" s="456"/>
      <c r="K27" s="456"/>
      <c r="L27" s="456"/>
      <c r="M27" s="456"/>
      <c r="N27" s="456"/>
      <c r="O27" s="456"/>
      <c r="P27" s="456"/>
      <c r="Q27" s="457"/>
      <c r="R27" s="457"/>
      <c r="S27" s="457"/>
      <c r="T27" s="457"/>
      <c r="U27" s="457"/>
    </row>
    <row r="28" spans="2:31" s="438" customFormat="1" ht="21.95" customHeight="1" x14ac:dyDescent="0.25">
      <c r="B28" s="425" t="s">
        <v>178</v>
      </c>
      <c r="C28" s="415"/>
      <c r="D28" s="426"/>
      <c r="E28" s="431"/>
      <c r="F28" s="455"/>
      <c r="G28" s="455"/>
      <c r="H28" s="138"/>
      <c r="I28" s="455"/>
      <c r="J28" s="455"/>
      <c r="K28" s="455"/>
      <c r="L28" s="455"/>
      <c r="M28" s="455"/>
      <c r="N28" s="138"/>
      <c r="O28" s="455"/>
      <c r="Q28" s="447"/>
      <c r="R28" s="447"/>
      <c r="S28" s="447"/>
      <c r="T28" s="447"/>
      <c r="U28" s="498"/>
    </row>
    <row r="29" spans="2:31" s="438" customFormat="1" ht="21.95" customHeight="1" x14ac:dyDescent="0.25">
      <c r="B29" s="422" t="s">
        <v>153</v>
      </c>
      <c r="C29" s="415"/>
      <c r="D29" s="423" t="s">
        <v>148</v>
      </c>
      <c r="E29" s="431"/>
      <c r="F29" s="567"/>
      <c r="G29" s="567"/>
      <c r="H29" s="569"/>
      <c r="I29" s="567"/>
      <c r="J29" s="567"/>
      <c r="K29" s="569"/>
      <c r="L29" s="567"/>
      <c r="M29" s="567"/>
      <c r="N29" s="138"/>
      <c r="O29" s="451"/>
      <c r="Q29" s="452" t="str">
        <f t="shared" ref="Q29" si="9">IFERROR(J29/I29,"-")</f>
        <v>-</v>
      </c>
      <c r="R29" s="453" t="str">
        <f t="shared" ref="R29" si="10">IFERROR(M29/L29,"-")</f>
        <v>-</v>
      </c>
      <c r="S29" s="454" t="str">
        <f t="shared" ref="S29" si="11">IFERROR(M29/O29,"-")</f>
        <v>-</v>
      </c>
      <c r="T29" s="452" t="str">
        <f t="shared" ref="T29" si="12">IFERROR(J29/F29-1,"-")</f>
        <v>-</v>
      </c>
      <c r="U29" s="503" t="str">
        <f t="shared" si="4"/>
        <v>-</v>
      </c>
    </row>
    <row r="30" spans="2:31" x14ac:dyDescent="0.25">
      <c r="F30" s="449"/>
      <c r="G30" s="449"/>
      <c r="H30" s="457"/>
      <c r="I30" s="457"/>
      <c r="J30" s="457"/>
      <c r="K30" s="457"/>
      <c r="L30" s="457"/>
      <c r="M30" s="457"/>
      <c r="N30" s="457"/>
      <c r="O30" s="457"/>
      <c r="P30" s="457"/>
      <c r="Q30" s="457"/>
      <c r="R30" s="457"/>
      <c r="S30" s="457"/>
      <c r="T30" s="457"/>
      <c r="U30" s="457"/>
    </row>
    <row r="35" spans="6:21" x14ac:dyDescent="0.25">
      <c r="F35" s="661"/>
      <c r="G35" s="661"/>
      <c r="H35" s="661"/>
      <c r="I35" s="661"/>
      <c r="J35" s="661"/>
      <c r="K35" s="661"/>
      <c r="L35" s="661"/>
      <c r="M35" s="661"/>
      <c r="N35" s="661"/>
      <c r="O35" s="661"/>
    </row>
    <row r="36" spans="6:21" x14ac:dyDescent="0.25">
      <c r="F36" s="661"/>
      <c r="G36" s="661"/>
      <c r="H36" s="661"/>
      <c r="I36" s="661"/>
      <c r="J36" s="661"/>
      <c r="K36" s="661"/>
      <c r="L36" s="661"/>
      <c r="M36" s="661"/>
      <c r="N36" s="661"/>
      <c r="O36" s="661"/>
      <c r="P36" s="661"/>
      <c r="Q36" s="661"/>
      <c r="R36" s="661"/>
      <c r="S36" s="661"/>
      <c r="T36" s="661"/>
      <c r="U36" s="661"/>
    </row>
    <row r="39" spans="6:21" x14ac:dyDescent="0.25">
      <c r="F39" s="490"/>
      <c r="G39" s="490"/>
      <c r="H39" s="490"/>
      <c r="I39" s="490"/>
      <c r="J39" s="490"/>
      <c r="K39" s="490"/>
      <c r="L39" s="490"/>
      <c r="M39" s="490"/>
      <c r="N39" s="490"/>
      <c r="O39" s="490"/>
      <c r="P39" s="490"/>
    </row>
    <row r="40" spans="6:21" x14ac:dyDescent="0.25">
      <c r="F40" s="490"/>
      <c r="G40" s="490"/>
      <c r="H40" s="490"/>
      <c r="I40" s="490"/>
      <c r="J40" s="490"/>
      <c r="K40" s="490"/>
      <c r="L40" s="490"/>
      <c r="M40" s="490"/>
      <c r="N40" s="490"/>
      <c r="O40" s="490"/>
      <c r="P40" s="490"/>
    </row>
    <row r="41" spans="6:21" x14ac:dyDescent="0.25">
      <c r="F41" s="490"/>
      <c r="G41" s="490"/>
      <c r="H41" s="490"/>
      <c r="I41" s="490"/>
      <c r="J41" s="490"/>
      <c r="K41" s="490"/>
      <c r="L41" s="490"/>
      <c r="M41" s="490"/>
      <c r="N41" s="490"/>
      <c r="O41" s="490"/>
      <c r="P41" s="490"/>
    </row>
    <row r="42" spans="6:21" x14ac:dyDescent="0.25">
      <c r="F42" s="490"/>
      <c r="G42" s="490"/>
      <c r="H42" s="490"/>
      <c r="I42" s="490"/>
      <c r="J42" s="490"/>
      <c r="K42" s="490"/>
      <c r="L42" s="490"/>
      <c r="M42" s="490"/>
      <c r="N42" s="490"/>
      <c r="O42" s="490"/>
      <c r="P42" s="490"/>
    </row>
    <row r="43" spans="6:21" x14ac:dyDescent="0.25">
      <c r="F43" s="490"/>
      <c r="G43" s="490"/>
      <c r="H43" s="490"/>
      <c r="I43" s="490"/>
      <c r="J43" s="490"/>
      <c r="K43" s="490"/>
      <c r="L43" s="490"/>
      <c r="M43" s="490"/>
      <c r="N43" s="490"/>
      <c r="O43" s="490"/>
      <c r="P43" s="490"/>
    </row>
    <row r="44" spans="6:21" x14ac:dyDescent="0.25">
      <c r="F44" s="490"/>
      <c r="G44" s="490"/>
      <c r="H44" s="490"/>
      <c r="I44" s="490"/>
      <c r="J44" s="490"/>
      <c r="K44" s="490"/>
      <c r="L44" s="490"/>
      <c r="M44" s="490"/>
      <c r="N44" s="490"/>
      <c r="O44" s="490"/>
      <c r="P44" s="490"/>
    </row>
    <row r="45" spans="6:21" x14ac:dyDescent="0.25">
      <c r="F45" s="490"/>
      <c r="G45" s="490"/>
      <c r="H45" s="490"/>
      <c r="I45" s="490"/>
      <c r="J45" s="490"/>
      <c r="K45" s="490"/>
      <c r="L45" s="490"/>
      <c r="M45" s="490"/>
      <c r="N45" s="490"/>
      <c r="O45" s="490"/>
      <c r="P45" s="490"/>
      <c r="Q45" s="490"/>
    </row>
    <row r="46" spans="6:21" x14ac:dyDescent="0.25">
      <c r="F46" s="490"/>
      <c r="G46" s="490"/>
      <c r="H46" s="490"/>
      <c r="I46" s="490"/>
      <c r="J46" s="490"/>
      <c r="K46" s="490"/>
      <c r="L46" s="490"/>
      <c r="M46" s="490"/>
      <c r="N46" s="490"/>
      <c r="O46" s="490"/>
      <c r="P46" s="490"/>
      <c r="Q46" s="490"/>
    </row>
    <row r="47" spans="6:21" x14ac:dyDescent="0.25">
      <c r="F47" s="490"/>
      <c r="G47" s="490"/>
      <c r="H47" s="490"/>
      <c r="I47" s="490"/>
      <c r="J47" s="490"/>
      <c r="K47" s="490"/>
      <c r="L47" s="490"/>
      <c r="M47" s="490"/>
      <c r="N47" s="490"/>
      <c r="O47" s="490"/>
      <c r="P47" s="490"/>
      <c r="Q47" s="490"/>
    </row>
    <row r="48" spans="6:21" x14ac:dyDescent="0.25">
      <c r="F48" s="490"/>
      <c r="G48" s="490"/>
      <c r="H48" s="490"/>
      <c r="I48" s="490"/>
      <c r="J48" s="490"/>
      <c r="K48" s="490"/>
      <c r="L48" s="490"/>
      <c r="M48" s="490"/>
      <c r="N48" s="490"/>
      <c r="O48" s="490"/>
      <c r="P48" s="490"/>
      <c r="Q48" s="490"/>
    </row>
    <row r="49" spans="6:17" x14ac:dyDescent="0.25">
      <c r="F49" s="490"/>
      <c r="G49" s="490"/>
      <c r="H49" s="490"/>
      <c r="I49" s="490"/>
      <c r="J49" s="490"/>
      <c r="K49" s="490"/>
      <c r="L49" s="490"/>
      <c r="M49" s="490"/>
      <c r="N49" s="490"/>
      <c r="O49" s="490"/>
      <c r="P49" s="490"/>
      <c r="Q49" s="490"/>
    </row>
    <row r="50" spans="6:17" x14ac:dyDescent="0.25">
      <c r="F50" s="490"/>
      <c r="G50" s="490"/>
      <c r="H50" s="490"/>
      <c r="I50" s="490"/>
      <c r="J50" s="490"/>
      <c r="K50" s="490"/>
      <c r="L50" s="490"/>
      <c r="M50" s="490"/>
      <c r="N50" s="490"/>
      <c r="O50" s="490"/>
      <c r="P50" s="490"/>
    </row>
    <row r="51" spans="6:17" x14ac:dyDescent="0.25">
      <c r="F51" s="490"/>
      <c r="G51" s="490"/>
      <c r="H51" s="490"/>
      <c r="I51" s="490"/>
      <c r="J51" s="490"/>
      <c r="K51" s="490"/>
      <c r="L51" s="490"/>
      <c r="M51" s="490"/>
      <c r="N51" s="490"/>
      <c r="O51" s="490"/>
      <c r="P51" s="490"/>
    </row>
    <row r="52" spans="6:17" x14ac:dyDescent="0.25">
      <c r="F52" s="490"/>
      <c r="G52" s="490"/>
      <c r="H52" s="490"/>
      <c r="I52" s="490"/>
      <c r="J52" s="490"/>
      <c r="K52" s="490"/>
      <c r="L52" s="490"/>
      <c r="M52" s="490"/>
      <c r="N52" s="490"/>
      <c r="O52" s="490"/>
      <c r="P52" s="490"/>
    </row>
    <row r="53" spans="6:17" x14ac:dyDescent="0.25">
      <c r="F53" s="490"/>
      <c r="G53" s="490"/>
      <c r="H53" s="490"/>
      <c r="I53" s="490"/>
      <c r="J53" s="490"/>
      <c r="K53" s="490"/>
      <c r="L53" s="490"/>
      <c r="M53" s="490"/>
      <c r="N53" s="490"/>
      <c r="O53" s="490"/>
      <c r="P53" s="490"/>
    </row>
    <row r="54" spans="6:17" x14ac:dyDescent="0.25">
      <c r="F54" s="490"/>
      <c r="G54" s="490"/>
      <c r="H54" s="490"/>
      <c r="I54" s="490"/>
      <c r="J54" s="490"/>
      <c r="K54" s="490"/>
      <c r="L54" s="490"/>
      <c r="M54" s="490"/>
      <c r="N54" s="490"/>
      <c r="O54" s="490"/>
      <c r="P54" s="490"/>
    </row>
    <row r="55" spans="6:17" x14ac:dyDescent="0.25">
      <c r="F55" s="490"/>
      <c r="G55" s="490"/>
      <c r="H55" s="490"/>
      <c r="I55" s="490"/>
      <c r="J55" s="490"/>
      <c r="K55" s="490"/>
      <c r="L55" s="490"/>
      <c r="M55" s="490"/>
      <c r="N55" s="490"/>
      <c r="O55" s="490"/>
      <c r="P55" s="490"/>
    </row>
  </sheetData>
  <mergeCells count="9">
    <mergeCell ref="D7:D10"/>
    <mergeCell ref="D19:D23"/>
    <mergeCell ref="B2:U2"/>
    <mergeCell ref="F4:G4"/>
    <mergeCell ref="Q4:U4"/>
    <mergeCell ref="Q5:S5"/>
    <mergeCell ref="T5:U5"/>
    <mergeCell ref="I4:J4"/>
    <mergeCell ref="L4:M4"/>
  </mergeCells>
  <printOptions horizontalCentered="1" verticalCentered="1"/>
  <pageMargins left="0.70866141732283472" right="0.70866141732283472" top="0" bottom="0" header="0.31496062992125984" footer="0.31496062992125984"/>
  <pageSetup paperSize="9" scale="61" orientation="landscape" r:id="rId1"/>
  <headerFooter>
    <oddFooter>&amp;LDCP SPE&amp;R&amp;P</oddFooter>
  </headerFooter>
  <customProperties>
    <customPr name="EpmWorksheetKeyString_GUID" r:id="rId2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U63"/>
  <sheetViews>
    <sheetView showGridLines="0" view="pageBreakPreview" topLeftCell="A13" zoomScale="85" zoomScaleNormal="80" zoomScaleSheetLayoutView="85" workbookViewId="0">
      <selection activeCell="F7" sqref="F7:O28"/>
    </sheetView>
  </sheetViews>
  <sheetFormatPr baseColWidth="10" defaultColWidth="11.42578125" defaultRowHeight="14.25" x14ac:dyDescent="0.25"/>
  <cols>
    <col min="1" max="1" width="4" style="48" customWidth="1"/>
    <col min="2" max="2" width="30.140625" style="1" customWidth="1"/>
    <col min="3" max="3" width="0.85546875" style="48" customWidth="1"/>
    <col min="4" max="4" width="10.7109375" style="49" customWidth="1"/>
    <col min="5" max="5" width="0.85546875" style="49" customWidth="1"/>
    <col min="6" max="6" width="15.7109375" style="49" customWidth="1"/>
    <col min="7" max="7" width="15.7109375" style="48" customWidth="1"/>
    <col min="8" max="8" width="0.85546875" style="48" customWidth="1"/>
    <col min="9" max="10" width="15.7109375" style="48" customWidth="1"/>
    <col min="11" max="11" width="0.85546875" style="48" customWidth="1"/>
    <col min="12" max="13" width="15.7109375" style="48" customWidth="1"/>
    <col min="14" max="14" width="0.85546875" style="48" customWidth="1"/>
    <col min="15" max="15" width="15.7109375" style="48" customWidth="1"/>
    <col min="16" max="16" width="0.85546875" style="48" customWidth="1"/>
    <col min="17" max="21" width="7.7109375" style="48" customWidth="1"/>
    <col min="22" max="99" width="11.42578125" style="48"/>
    <col min="100" max="100" width="4" style="48" customWidth="1"/>
    <col min="101" max="101" width="24.7109375" style="48" customWidth="1"/>
    <col min="102" max="102" width="0.85546875" style="48" customWidth="1"/>
    <col min="103" max="103" width="10.7109375" style="48" customWidth="1"/>
    <col min="104" max="104" width="0.85546875" style="48" customWidth="1"/>
    <col min="105" max="105" width="16.85546875" style="48" customWidth="1"/>
    <col min="106" max="106" width="21.28515625" style="48" customWidth="1"/>
    <col min="107" max="107" width="0.85546875" style="48" customWidth="1"/>
    <col min="108" max="109" width="14.7109375" style="48" customWidth="1"/>
    <col min="110" max="110" width="0.85546875" style="48" customWidth="1"/>
    <col min="111" max="112" width="14.7109375" style="48" customWidth="1"/>
    <col min="113" max="113" width="0.85546875" style="48" customWidth="1"/>
    <col min="114" max="114" width="14.7109375" style="48" customWidth="1"/>
    <col min="115" max="115" width="0.85546875" style="48" customWidth="1"/>
    <col min="116" max="120" width="6.7109375" style="48" customWidth="1"/>
    <col min="121" max="121" width="14.5703125" style="48" customWidth="1"/>
    <col min="122" max="355" width="11.42578125" style="48"/>
    <col min="356" max="356" width="4" style="48" customWidth="1"/>
    <col min="357" max="357" width="24.7109375" style="48" customWidth="1"/>
    <col min="358" max="358" width="0.85546875" style="48" customWidth="1"/>
    <col min="359" max="359" width="10.7109375" style="48" customWidth="1"/>
    <col min="360" max="360" width="0.85546875" style="48" customWidth="1"/>
    <col min="361" max="361" width="16.85546875" style="48" customWidth="1"/>
    <col min="362" max="362" width="21.28515625" style="48" customWidth="1"/>
    <col min="363" max="363" width="0.85546875" style="48" customWidth="1"/>
    <col min="364" max="365" width="14.7109375" style="48" customWidth="1"/>
    <col min="366" max="366" width="0.85546875" style="48" customWidth="1"/>
    <col min="367" max="368" width="14.7109375" style="48" customWidth="1"/>
    <col min="369" max="369" width="0.85546875" style="48" customWidth="1"/>
    <col min="370" max="370" width="14.7109375" style="48" customWidth="1"/>
    <col min="371" max="371" width="0.85546875" style="48" customWidth="1"/>
    <col min="372" max="376" width="6.7109375" style="48" customWidth="1"/>
    <col min="377" max="377" width="14.5703125" style="48" customWidth="1"/>
    <col min="378" max="611" width="11.42578125" style="48"/>
    <col min="612" max="612" width="4" style="48" customWidth="1"/>
    <col min="613" max="613" width="24.7109375" style="48" customWidth="1"/>
    <col min="614" max="614" width="0.85546875" style="48" customWidth="1"/>
    <col min="615" max="615" width="10.7109375" style="48" customWidth="1"/>
    <col min="616" max="616" width="0.85546875" style="48" customWidth="1"/>
    <col min="617" max="617" width="16.85546875" style="48" customWidth="1"/>
    <col min="618" max="618" width="21.28515625" style="48" customWidth="1"/>
    <col min="619" max="619" width="0.85546875" style="48" customWidth="1"/>
    <col min="620" max="621" width="14.7109375" style="48" customWidth="1"/>
    <col min="622" max="622" width="0.85546875" style="48" customWidth="1"/>
    <col min="623" max="624" width="14.7109375" style="48" customWidth="1"/>
    <col min="625" max="625" width="0.85546875" style="48" customWidth="1"/>
    <col min="626" max="626" width="14.7109375" style="48" customWidth="1"/>
    <col min="627" max="627" width="0.85546875" style="48" customWidth="1"/>
    <col min="628" max="632" width="6.7109375" style="48" customWidth="1"/>
    <col min="633" max="633" width="14.5703125" style="48" customWidth="1"/>
    <col min="634" max="867" width="11.42578125" style="48"/>
    <col min="868" max="868" width="4" style="48" customWidth="1"/>
    <col min="869" max="869" width="24.7109375" style="48" customWidth="1"/>
    <col min="870" max="870" width="0.85546875" style="48" customWidth="1"/>
    <col min="871" max="871" width="10.7109375" style="48" customWidth="1"/>
    <col min="872" max="872" width="0.85546875" style="48" customWidth="1"/>
    <col min="873" max="873" width="16.85546875" style="48" customWidth="1"/>
    <col min="874" max="874" width="21.28515625" style="48" customWidth="1"/>
    <col min="875" max="875" width="0.85546875" style="48" customWidth="1"/>
    <col min="876" max="877" width="14.7109375" style="48" customWidth="1"/>
    <col min="878" max="878" width="0.85546875" style="48" customWidth="1"/>
    <col min="879" max="880" width="14.7109375" style="48" customWidth="1"/>
    <col min="881" max="881" width="0.85546875" style="48" customWidth="1"/>
    <col min="882" max="882" width="14.7109375" style="48" customWidth="1"/>
    <col min="883" max="883" width="0.85546875" style="48" customWidth="1"/>
    <col min="884" max="888" width="6.7109375" style="48" customWidth="1"/>
    <col min="889" max="889" width="14.5703125" style="48" customWidth="1"/>
    <col min="890" max="1123" width="11.42578125" style="48"/>
    <col min="1124" max="1124" width="4" style="48" customWidth="1"/>
    <col min="1125" max="1125" width="24.7109375" style="48" customWidth="1"/>
    <col min="1126" max="1126" width="0.85546875" style="48" customWidth="1"/>
    <col min="1127" max="1127" width="10.7109375" style="48" customWidth="1"/>
    <col min="1128" max="1128" width="0.85546875" style="48" customWidth="1"/>
    <col min="1129" max="1129" width="16.85546875" style="48" customWidth="1"/>
    <col min="1130" max="1130" width="21.28515625" style="48" customWidth="1"/>
    <col min="1131" max="1131" width="0.85546875" style="48" customWidth="1"/>
    <col min="1132" max="1133" width="14.7109375" style="48" customWidth="1"/>
    <col min="1134" max="1134" width="0.85546875" style="48" customWidth="1"/>
    <col min="1135" max="1136" width="14.7109375" style="48" customWidth="1"/>
    <col min="1137" max="1137" width="0.85546875" style="48" customWidth="1"/>
    <col min="1138" max="1138" width="14.7109375" style="48" customWidth="1"/>
    <col min="1139" max="1139" width="0.85546875" style="48" customWidth="1"/>
    <col min="1140" max="1144" width="6.7109375" style="48" customWidth="1"/>
    <col min="1145" max="1145" width="14.5703125" style="48" customWidth="1"/>
    <col min="1146" max="1379" width="11.42578125" style="48"/>
    <col min="1380" max="1380" width="4" style="48" customWidth="1"/>
    <col min="1381" max="1381" width="24.7109375" style="48" customWidth="1"/>
    <col min="1382" max="1382" width="0.85546875" style="48" customWidth="1"/>
    <col min="1383" max="1383" width="10.7109375" style="48" customWidth="1"/>
    <col min="1384" max="1384" width="0.85546875" style="48" customWidth="1"/>
    <col min="1385" max="1385" width="16.85546875" style="48" customWidth="1"/>
    <col min="1386" max="1386" width="21.28515625" style="48" customWidth="1"/>
    <col min="1387" max="1387" width="0.85546875" style="48" customWidth="1"/>
    <col min="1388" max="1389" width="14.7109375" style="48" customWidth="1"/>
    <col min="1390" max="1390" width="0.85546875" style="48" customWidth="1"/>
    <col min="1391" max="1392" width="14.7109375" style="48" customWidth="1"/>
    <col min="1393" max="1393" width="0.85546875" style="48" customWidth="1"/>
    <col min="1394" max="1394" width="14.7109375" style="48" customWidth="1"/>
    <col min="1395" max="1395" width="0.85546875" style="48" customWidth="1"/>
    <col min="1396" max="1400" width="6.7109375" style="48" customWidth="1"/>
    <col min="1401" max="1401" width="14.5703125" style="48" customWidth="1"/>
    <col min="1402" max="1635" width="11.42578125" style="48"/>
    <col min="1636" max="1636" width="4" style="48" customWidth="1"/>
    <col min="1637" max="1637" width="24.7109375" style="48" customWidth="1"/>
    <col min="1638" max="1638" width="0.85546875" style="48" customWidth="1"/>
    <col min="1639" max="1639" width="10.7109375" style="48" customWidth="1"/>
    <col min="1640" max="1640" width="0.85546875" style="48" customWidth="1"/>
    <col min="1641" max="1641" width="16.85546875" style="48" customWidth="1"/>
    <col min="1642" max="1642" width="21.28515625" style="48" customWidth="1"/>
    <col min="1643" max="1643" width="0.85546875" style="48" customWidth="1"/>
    <col min="1644" max="1645" width="14.7109375" style="48" customWidth="1"/>
    <col min="1646" max="1646" width="0.85546875" style="48" customWidth="1"/>
    <col min="1647" max="1648" width="14.7109375" style="48" customWidth="1"/>
    <col min="1649" max="1649" width="0.85546875" style="48" customWidth="1"/>
    <col min="1650" max="1650" width="14.7109375" style="48" customWidth="1"/>
    <col min="1651" max="1651" width="0.85546875" style="48" customWidth="1"/>
    <col min="1652" max="1656" width="6.7109375" style="48" customWidth="1"/>
    <col min="1657" max="1657" width="14.5703125" style="48" customWidth="1"/>
    <col min="1658" max="1891" width="11.42578125" style="48"/>
    <col min="1892" max="1892" width="4" style="48" customWidth="1"/>
    <col min="1893" max="1893" width="24.7109375" style="48" customWidth="1"/>
    <col min="1894" max="1894" width="0.85546875" style="48" customWidth="1"/>
    <col min="1895" max="1895" width="10.7109375" style="48" customWidth="1"/>
    <col min="1896" max="1896" width="0.85546875" style="48" customWidth="1"/>
    <col min="1897" max="1897" width="16.85546875" style="48" customWidth="1"/>
    <col min="1898" max="1898" width="21.28515625" style="48" customWidth="1"/>
    <col min="1899" max="1899" width="0.85546875" style="48" customWidth="1"/>
    <col min="1900" max="1901" width="14.7109375" style="48" customWidth="1"/>
    <col min="1902" max="1902" width="0.85546875" style="48" customWidth="1"/>
    <col min="1903" max="1904" width="14.7109375" style="48" customWidth="1"/>
    <col min="1905" max="1905" width="0.85546875" style="48" customWidth="1"/>
    <col min="1906" max="1906" width="14.7109375" style="48" customWidth="1"/>
    <col min="1907" max="1907" width="0.85546875" style="48" customWidth="1"/>
    <col min="1908" max="1912" width="6.7109375" style="48" customWidth="1"/>
    <col min="1913" max="1913" width="14.5703125" style="48" customWidth="1"/>
    <col min="1914" max="2147" width="11.42578125" style="48"/>
    <col min="2148" max="2148" width="4" style="48" customWidth="1"/>
    <col min="2149" max="2149" width="24.7109375" style="48" customWidth="1"/>
    <col min="2150" max="2150" width="0.85546875" style="48" customWidth="1"/>
    <col min="2151" max="2151" width="10.7109375" style="48" customWidth="1"/>
    <col min="2152" max="2152" width="0.85546875" style="48" customWidth="1"/>
    <col min="2153" max="2153" width="16.85546875" style="48" customWidth="1"/>
    <col min="2154" max="2154" width="21.28515625" style="48" customWidth="1"/>
    <col min="2155" max="2155" width="0.85546875" style="48" customWidth="1"/>
    <col min="2156" max="2157" width="14.7109375" style="48" customWidth="1"/>
    <col min="2158" max="2158" width="0.85546875" style="48" customWidth="1"/>
    <col min="2159" max="2160" width="14.7109375" style="48" customWidth="1"/>
    <col min="2161" max="2161" width="0.85546875" style="48" customWidth="1"/>
    <col min="2162" max="2162" width="14.7109375" style="48" customWidth="1"/>
    <col min="2163" max="2163" width="0.85546875" style="48" customWidth="1"/>
    <col min="2164" max="2168" width="6.7109375" style="48" customWidth="1"/>
    <col min="2169" max="2169" width="14.5703125" style="48" customWidth="1"/>
    <col min="2170" max="2403" width="11.42578125" style="48"/>
    <col min="2404" max="2404" width="4" style="48" customWidth="1"/>
    <col min="2405" max="2405" width="24.7109375" style="48" customWidth="1"/>
    <col min="2406" max="2406" width="0.85546875" style="48" customWidth="1"/>
    <col min="2407" max="2407" width="10.7109375" style="48" customWidth="1"/>
    <col min="2408" max="2408" width="0.85546875" style="48" customWidth="1"/>
    <col min="2409" max="2409" width="16.85546875" style="48" customWidth="1"/>
    <col min="2410" max="2410" width="21.28515625" style="48" customWidth="1"/>
    <col min="2411" max="2411" width="0.85546875" style="48" customWidth="1"/>
    <col min="2412" max="2413" width="14.7109375" style="48" customWidth="1"/>
    <col min="2414" max="2414" width="0.85546875" style="48" customWidth="1"/>
    <col min="2415" max="2416" width="14.7109375" style="48" customWidth="1"/>
    <col min="2417" max="2417" width="0.85546875" style="48" customWidth="1"/>
    <col min="2418" max="2418" width="14.7109375" style="48" customWidth="1"/>
    <col min="2419" max="2419" width="0.85546875" style="48" customWidth="1"/>
    <col min="2420" max="2424" width="6.7109375" style="48" customWidth="1"/>
    <col min="2425" max="2425" width="14.5703125" style="48" customWidth="1"/>
    <col min="2426" max="2659" width="11.42578125" style="48"/>
    <col min="2660" max="2660" width="4" style="48" customWidth="1"/>
    <col min="2661" max="2661" width="24.7109375" style="48" customWidth="1"/>
    <col min="2662" max="2662" width="0.85546875" style="48" customWidth="1"/>
    <col min="2663" max="2663" width="10.7109375" style="48" customWidth="1"/>
    <col min="2664" max="2664" width="0.85546875" style="48" customWidth="1"/>
    <col min="2665" max="2665" width="16.85546875" style="48" customWidth="1"/>
    <col min="2666" max="2666" width="21.28515625" style="48" customWidth="1"/>
    <col min="2667" max="2667" width="0.85546875" style="48" customWidth="1"/>
    <col min="2668" max="2669" width="14.7109375" style="48" customWidth="1"/>
    <col min="2670" max="2670" width="0.85546875" style="48" customWidth="1"/>
    <col min="2671" max="2672" width="14.7109375" style="48" customWidth="1"/>
    <col min="2673" max="2673" width="0.85546875" style="48" customWidth="1"/>
    <col min="2674" max="2674" width="14.7109375" style="48" customWidth="1"/>
    <col min="2675" max="2675" width="0.85546875" style="48" customWidth="1"/>
    <col min="2676" max="2680" width="6.7109375" style="48" customWidth="1"/>
    <col min="2681" max="2681" width="14.5703125" style="48" customWidth="1"/>
    <col min="2682" max="2915" width="11.42578125" style="48"/>
    <col min="2916" max="2916" width="4" style="48" customWidth="1"/>
    <col min="2917" max="2917" width="24.7109375" style="48" customWidth="1"/>
    <col min="2918" max="2918" width="0.85546875" style="48" customWidth="1"/>
    <col min="2919" max="2919" width="10.7109375" style="48" customWidth="1"/>
    <col min="2920" max="2920" width="0.85546875" style="48" customWidth="1"/>
    <col min="2921" max="2921" width="16.85546875" style="48" customWidth="1"/>
    <col min="2922" max="2922" width="21.28515625" style="48" customWidth="1"/>
    <col min="2923" max="2923" width="0.85546875" style="48" customWidth="1"/>
    <col min="2924" max="2925" width="14.7109375" style="48" customWidth="1"/>
    <col min="2926" max="2926" width="0.85546875" style="48" customWidth="1"/>
    <col min="2927" max="2928" width="14.7109375" style="48" customWidth="1"/>
    <col min="2929" max="2929" width="0.85546875" style="48" customWidth="1"/>
    <col min="2930" max="2930" width="14.7109375" style="48" customWidth="1"/>
    <col min="2931" max="2931" width="0.85546875" style="48" customWidth="1"/>
    <col min="2932" max="2936" width="6.7109375" style="48" customWidth="1"/>
    <col min="2937" max="2937" width="14.5703125" style="48" customWidth="1"/>
    <col min="2938" max="3171" width="11.42578125" style="48"/>
    <col min="3172" max="3172" width="4" style="48" customWidth="1"/>
    <col min="3173" max="3173" width="24.7109375" style="48" customWidth="1"/>
    <col min="3174" max="3174" width="0.85546875" style="48" customWidth="1"/>
    <col min="3175" max="3175" width="10.7109375" style="48" customWidth="1"/>
    <col min="3176" max="3176" width="0.85546875" style="48" customWidth="1"/>
    <col min="3177" max="3177" width="16.85546875" style="48" customWidth="1"/>
    <col min="3178" max="3178" width="21.28515625" style="48" customWidth="1"/>
    <col min="3179" max="3179" width="0.85546875" style="48" customWidth="1"/>
    <col min="3180" max="3181" width="14.7109375" style="48" customWidth="1"/>
    <col min="3182" max="3182" width="0.85546875" style="48" customWidth="1"/>
    <col min="3183" max="3184" width="14.7109375" style="48" customWidth="1"/>
    <col min="3185" max="3185" width="0.85546875" style="48" customWidth="1"/>
    <col min="3186" max="3186" width="14.7109375" style="48" customWidth="1"/>
    <col min="3187" max="3187" width="0.85546875" style="48" customWidth="1"/>
    <col min="3188" max="3192" width="6.7109375" style="48" customWidth="1"/>
    <col min="3193" max="3193" width="14.5703125" style="48" customWidth="1"/>
    <col min="3194" max="3427" width="11.42578125" style="48"/>
    <col min="3428" max="3428" width="4" style="48" customWidth="1"/>
    <col min="3429" max="3429" width="24.7109375" style="48" customWidth="1"/>
    <col min="3430" max="3430" width="0.85546875" style="48" customWidth="1"/>
    <col min="3431" max="3431" width="10.7109375" style="48" customWidth="1"/>
    <col min="3432" max="3432" width="0.85546875" style="48" customWidth="1"/>
    <col min="3433" max="3433" width="16.85546875" style="48" customWidth="1"/>
    <col min="3434" max="3434" width="21.28515625" style="48" customWidth="1"/>
    <col min="3435" max="3435" width="0.85546875" style="48" customWidth="1"/>
    <col min="3436" max="3437" width="14.7109375" style="48" customWidth="1"/>
    <col min="3438" max="3438" width="0.85546875" style="48" customWidth="1"/>
    <col min="3439" max="3440" width="14.7109375" style="48" customWidth="1"/>
    <col min="3441" max="3441" width="0.85546875" style="48" customWidth="1"/>
    <col min="3442" max="3442" width="14.7109375" style="48" customWidth="1"/>
    <col min="3443" max="3443" width="0.85546875" style="48" customWidth="1"/>
    <col min="3444" max="3448" width="6.7109375" style="48" customWidth="1"/>
    <col min="3449" max="3449" width="14.5703125" style="48" customWidth="1"/>
    <col min="3450" max="3683" width="11.42578125" style="48"/>
    <col min="3684" max="3684" width="4" style="48" customWidth="1"/>
    <col min="3685" max="3685" width="24.7109375" style="48" customWidth="1"/>
    <col min="3686" max="3686" width="0.85546875" style="48" customWidth="1"/>
    <col min="3687" max="3687" width="10.7109375" style="48" customWidth="1"/>
    <col min="3688" max="3688" width="0.85546875" style="48" customWidth="1"/>
    <col min="3689" max="3689" width="16.85546875" style="48" customWidth="1"/>
    <col min="3690" max="3690" width="21.28515625" style="48" customWidth="1"/>
    <col min="3691" max="3691" width="0.85546875" style="48" customWidth="1"/>
    <col min="3692" max="3693" width="14.7109375" style="48" customWidth="1"/>
    <col min="3694" max="3694" width="0.85546875" style="48" customWidth="1"/>
    <col min="3695" max="3696" width="14.7109375" style="48" customWidth="1"/>
    <col min="3697" max="3697" width="0.85546875" style="48" customWidth="1"/>
    <col min="3698" max="3698" width="14.7109375" style="48" customWidth="1"/>
    <col min="3699" max="3699" width="0.85546875" style="48" customWidth="1"/>
    <col min="3700" max="3704" width="6.7109375" style="48" customWidth="1"/>
    <col min="3705" max="3705" width="14.5703125" style="48" customWidth="1"/>
    <col min="3706" max="3939" width="11.42578125" style="48"/>
    <col min="3940" max="3940" width="4" style="48" customWidth="1"/>
    <col min="3941" max="3941" width="24.7109375" style="48" customWidth="1"/>
    <col min="3942" max="3942" width="0.85546875" style="48" customWidth="1"/>
    <col min="3943" max="3943" width="10.7109375" style="48" customWidth="1"/>
    <col min="3944" max="3944" width="0.85546875" style="48" customWidth="1"/>
    <col min="3945" max="3945" width="16.85546875" style="48" customWidth="1"/>
    <col min="3946" max="3946" width="21.28515625" style="48" customWidth="1"/>
    <col min="3947" max="3947" width="0.85546875" style="48" customWidth="1"/>
    <col min="3948" max="3949" width="14.7109375" style="48" customWidth="1"/>
    <col min="3950" max="3950" width="0.85546875" style="48" customWidth="1"/>
    <col min="3951" max="3952" width="14.7109375" style="48" customWidth="1"/>
    <col min="3953" max="3953" width="0.85546875" style="48" customWidth="1"/>
    <col min="3954" max="3954" width="14.7109375" style="48" customWidth="1"/>
    <col min="3955" max="3955" width="0.85546875" style="48" customWidth="1"/>
    <col min="3956" max="3960" width="6.7109375" style="48" customWidth="1"/>
    <col min="3961" max="3961" width="14.5703125" style="48" customWidth="1"/>
    <col min="3962" max="4195" width="11.42578125" style="48"/>
    <col min="4196" max="4196" width="4" style="48" customWidth="1"/>
    <col min="4197" max="4197" width="24.7109375" style="48" customWidth="1"/>
    <col min="4198" max="4198" width="0.85546875" style="48" customWidth="1"/>
    <col min="4199" max="4199" width="10.7109375" style="48" customWidth="1"/>
    <col min="4200" max="4200" width="0.85546875" style="48" customWidth="1"/>
    <col min="4201" max="4201" width="16.85546875" style="48" customWidth="1"/>
    <col min="4202" max="4202" width="21.28515625" style="48" customWidth="1"/>
    <col min="4203" max="4203" width="0.85546875" style="48" customWidth="1"/>
    <col min="4204" max="4205" width="14.7109375" style="48" customWidth="1"/>
    <col min="4206" max="4206" width="0.85546875" style="48" customWidth="1"/>
    <col min="4207" max="4208" width="14.7109375" style="48" customWidth="1"/>
    <col min="4209" max="4209" width="0.85546875" style="48" customWidth="1"/>
    <col min="4210" max="4210" width="14.7109375" style="48" customWidth="1"/>
    <col min="4211" max="4211" width="0.85546875" style="48" customWidth="1"/>
    <col min="4212" max="4216" width="6.7109375" style="48" customWidth="1"/>
    <col min="4217" max="4217" width="14.5703125" style="48" customWidth="1"/>
    <col min="4218" max="4451" width="11.42578125" style="48"/>
    <col min="4452" max="4452" width="4" style="48" customWidth="1"/>
    <col min="4453" max="4453" width="24.7109375" style="48" customWidth="1"/>
    <col min="4454" max="4454" width="0.85546875" style="48" customWidth="1"/>
    <col min="4455" max="4455" width="10.7109375" style="48" customWidth="1"/>
    <col min="4456" max="4456" width="0.85546875" style="48" customWidth="1"/>
    <col min="4457" max="4457" width="16.85546875" style="48" customWidth="1"/>
    <col min="4458" max="4458" width="21.28515625" style="48" customWidth="1"/>
    <col min="4459" max="4459" width="0.85546875" style="48" customWidth="1"/>
    <col min="4460" max="4461" width="14.7109375" style="48" customWidth="1"/>
    <col min="4462" max="4462" width="0.85546875" style="48" customWidth="1"/>
    <col min="4463" max="4464" width="14.7109375" style="48" customWidth="1"/>
    <col min="4465" max="4465" width="0.85546875" style="48" customWidth="1"/>
    <col min="4466" max="4466" width="14.7109375" style="48" customWidth="1"/>
    <col min="4467" max="4467" width="0.85546875" style="48" customWidth="1"/>
    <col min="4468" max="4472" width="6.7109375" style="48" customWidth="1"/>
    <col min="4473" max="4473" width="14.5703125" style="48" customWidth="1"/>
    <col min="4474" max="4707" width="11.42578125" style="48"/>
    <col min="4708" max="4708" width="4" style="48" customWidth="1"/>
    <col min="4709" max="4709" width="24.7109375" style="48" customWidth="1"/>
    <col min="4710" max="4710" width="0.85546875" style="48" customWidth="1"/>
    <col min="4711" max="4711" width="10.7109375" style="48" customWidth="1"/>
    <col min="4712" max="4712" width="0.85546875" style="48" customWidth="1"/>
    <col min="4713" max="4713" width="16.85546875" style="48" customWidth="1"/>
    <col min="4714" max="4714" width="21.28515625" style="48" customWidth="1"/>
    <col min="4715" max="4715" width="0.85546875" style="48" customWidth="1"/>
    <col min="4716" max="4717" width="14.7109375" style="48" customWidth="1"/>
    <col min="4718" max="4718" width="0.85546875" style="48" customWidth="1"/>
    <col min="4719" max="4720" width="14.7109375" style="48" customWidth="1"/>
    <col min="4721" max="4721" width="0.85546875" style="48" customWidth="1"/>
    <col min="4722" max="4722" width="14.7109375" style="48" customWidth="1"/>
    <col min="4723" max="4723" width="0.85546875" style="48" customWidth="1"/>
    <col min="4724" max="4728" width="6.7109375" style="48" customWidth="1"/>
    <col min="4729" max="4729" width="14.5703125" style="48" customWidth="1"/>
    <col min="4730" max="4963" width="11.42578125" style="48"/>
    <col min="4964" max="4964" width="4" style="48" customWidth="1"/>
    <col min="4965" max="4965" width="24.7109375" style="48" customWidth="1"/>
    <col min="4966" max="4966" width="0.85546875" style="48" customWidth="1"/>
    <col min="4967" max="4967" width="10.7109375" style="48" customWidth="1"/>
    <col min="4968" max="4968" width="0.85546875" style="48" customWidth="1"/>
    <col min="4969" max="4969" width="16.85546875" style="48" customWidth="1"/>
    <col min="4970" max="4970" width="21.28515625" style="48" customWidth="1"/>
    <col min="4971" max="4971" width="0.85546875" style="48" customWidth="1"/>
    <col min="4972" max="4973" width="14.7109375" style="48" customWidth="1"/>
    <col min="4974" max="4974" width="0.85546875" style="48" customWidth="1"/>
    <col min="4975" max="4976" width="14.7109375" style="48" customWidth="1"/>
    <col min="4977" max="4977" width="0.85546875" style="48" customWidth="1"/>
    <col min="4978" max="4978" width="14.7109375" style="48" customWidth="1"/>
    <col min="4979" max="4979" width="0.85546875" style="48" customWidth="1"/>
    <col min="4980" max="4984" width="6.7109375" style="48" customWidth="1"/>
    <col min="4985" max="4985" width="14.5703125" style="48" customWidth="1"/>
    <col min="4986" max="5219" width="11.42578125" style="48"/>
    <col min="5220" max="5220" width="4" style="48" customWidth="1"/>
    <col min="5221" max="5221" width="24.7109375" style="48" customWidth="1"/>
    <col min="5222" max="5222" width="0.85546875" style="48" customWidth="1"/>
    <col min="5223" max="5223" width="10.7109375" style="48" customWidth="1"/>
    <col min="5224" max="5224" width="0.85546875" style="48" customWidth="1"/>
    <col min="5225" max="5225" width="16.85546875" style="48" customWidth="1"/>
    <col min="5226" max="5226" width="21.28515625" style="48" customWidth="1"/>
    <col min="5227" max="5227" width="0.85546875" style="48" customWidth="1"/>
    <col min="5228" max="5229" width="14.7109375" style="48" customWidth="1"/>
    <col min="5230" max="5230" width="0.85546875" style="48" customWidth="1"/>
    <col min="5231" max="5232" width="14.7109375" style="48" customWidth="1"/>
    <col min="5233" max="5233" width="0.85546875" style="48" customWidth="1"/>
    <col min="5234" max="5234" width="14.7109375" style="48" customWidth="1"/>
    <col min="5235" max="5235" width="0.85546875" style="48" customWidth="1"/>
    <col min="5236" max="5240" width="6.7109375" style="48" customWidth="1"/>
    <col min="5241" max="5241" width="14.5703125" style="48" customWidth="1"/>
    <col min="5242" max="5475" width="11.42578125" style="48"/>
    <col min="5476" max="5476" width="4" style="48" customWidth="1"/>
    <col min="5477" max="5477" width="24.7109375" style="48" customWidth="1"/>
    <col min="5478" max="5478" width="0.85546875" style="48" customWidth="1"/>
    <col min="5479" max="5479" width="10.7109375" style="48" customWidth="1"/>
    <col min="5480" max="5480" width="0.85546875" style="48" customWidth="1"/>
    <col min="5481" max="5481" width="16.85546875" style="48" customWidth="1"/>
    <col min="5482" max="5482" width="21.28515625" style="48" customWidth="1"/>
    <col min="5483" max="5483" width="0.85546875" style="48" customWidth="1"/>
    <col min="5484" max="5485" width="14.7109375" style="48" customWidth="1"/>
    <col min="5486" max="5486" width="0.85546875" style="48" customWidth="1"/>
    <col min="5487" max="5488" width="14.7109375" style="48" customWidth="1"/>
    <col min="5489" max="5489" width="0.85546875" style="48" customWidth="1"/>
    <col min="5490" max="5490" width="14.7109375" style="48" customWidth="1"/>
    <col min="5491" max="5491" width="0.85546875" style="48" customWidth="1"/>
    <col min="5492" max="5496" width="6.7109375" style="48" customWidth="1"/>
    <col min="5497" max="5497" width="14.5703125" style="48" customWidth="1"/>
    <col min="5498" max="5731" width="11.42578125" style="48"/>
    <col min="5732" max="5732" width="4" style="48" customWidth="1"/>
    <col min="5733" max="5733" width="24.7109375" style="48" customWidth="1"/>
    <col min="5734" max="5734" width="0.85546875" style="48" customWidth="1"/>
    <col min="5735" max="5735" width="10.7109375" style="48" customWidth="1"/>
    <col min="5736" max="5736" width="0.85546875" style="48" customWidth="1"/>
    <col min="5737" max="5737" width="16.85546875" style="48" customWidth="1"/>
    <col min="5738" max="5738" width="21.28515625" style="48" customWidth="1"/>
    <col min="5739" max="5739" width="0.85546875" style="48" customWidth="1"/>
    <col min="5740" max="5741" width="14.7109375" style="48" customWidth="1"/>
    <col min="5742" max="5742" width="0.85546875" style="48" customWidth="1"/>
    <col min="5743" max="5744" width="14.7109375" style="48" customWidth="1"/>
    <col min="5745" max="5745" width="0.85546875" style="48" customWidth="1"/>
    <col min="5746" max="5746" width="14.7109375" style="48" customWidth="1"/>
    <col min="5747" max="5747" width="0.85546875" style="48" customWidth="1"/>
    <col min="5748" max="5752" width="6.7109375" style="48" customWidth="1"/>
    <col min="5753" max="5753" width="14.5703125" style="48" customWidth="1"/>
    <col min="5754" max="5987" width="11.42578125" style="48"/>
    <col min="5988" max="5988" width="4" style="48" customWidth="1"/>
    <col min="5989" max="5989" width="24.7109375" style="48" customWidth="1"/>
    <col min="5990" max="5990" width="0.85546875" style="48" customWidth="1"/>
    <col min="5991" max="5991" width="10.7109375" style="48" customWidth="1"/>
    <col min="5992" max="5992" width="0.85546875" style="48" customWidth="1"/>
    <col min="5993" max="5993" width="16.85546875" style="48" customWidth="1"/>
    <col min="5994" max="5994" width="21.28515625" style="48" customWidth="1"/>
    <col min="5995" max="5995" width="0.85546875" style="48" customWidth="1"/>
    <col min="5996" max="5997" width="14.7109375" style="48" customWidth="1"/>
    <col min="5998" max="5998" width="0.85546875" style="48" customWidth="1"/>
    <col min="5999" max="6000" width="14.7109375" style="48" customWidth="1"/>
    <col min="6001" max="6001" width="0.85546875" style="48" customWidth="1"/>
    <col min="6002" max="6002" width="14.7109375" style="48" customWidth="1"/>
    <col min="6003" max="6003" width="0.85546875" style="48" customWidth="1"/>
    <col min="6004" max="6008" width="6.7109375" style="48" customWidth="1"/>
    <col min="6009" max="6009" width="14.5703125" style="48" customWidth="1"/>
    <col min="6010" max="6243" width="11.42578125" style="48"/>
    <col min="6244" max="6244" width="4" style="48" customWidth="1"/>
    <col min="6245" max="6245" width="24.7109375" style="48" customWidth="1"/>
    <col min="6246" max="6246" width="0.85546875" style="48" customWidth="1"/>
    <col min="6247" max="6247" width="10.7109375" style="48" customWidth="1"/>
    <col min="6248" max="6248" width="0.85546875" style="48" customWidth="1"/>
    <col min="6249" max="6249" width="16.85546875" style="48" customWidth="1"/>
    <col min="6250" max="6250" width="21.28515625" style="48" customWidth="1"/>
    <col min="6251" max="6251" width="0.85546875" style="48" customWidth="1"/>
    <col min="6252" max="6253" width="14.7109375" style="48" customWidth="1"/>
    <col min="6254" max="6254" width="0.85546875" style="48" customWidth="1"/>
    <col min="6255" max="6256" width="14.7109375" style="48" customWidth="1"/>
    <col min="6257" max="6257" width="0.85546875" style="48" customWidth="1"/>
    <col min="6258" max="6258" width="14.7109375" style="48" customWidth="1"/>
    <col min="6259" max="6259" width="0.85546875" style="48" customWidth="1"/>
    <col min="6260" max="6264" width="6.7109375" style="48" customWidth="1"/>
    <col min="6265" max="6265" width="14.5703125" style="48" customWidth="1"/>
    <col min="6266" max="6499" width="11.42578125" style="48"/>
    <col min="6500" max="6500" width="4" style="48" customWidth="1"/>
    <col min="6501" max="6501" width="24.7109375" style="48" customWidth="1"/>
    <col min="6502" max="6502" width="0.85546875" style="48" customWidth="1"/>
    <col min="6503" max="6503" width="10.7109375" style="48" customWidth="1"/>
    <col min="6504" max="6504" width="0.85546875" style="48" customWidth="1"/>
    <col min="6505" max="6505" width="16.85546875" style="48" customWidth="1"/>
    <col min="6506" max="6506" width="21.28515625" style="48" customWidth="1"/>
    <col min="6507" max="6507" width="0.85546875" style="48" customWidth="1"/>
    <col min="6508" max="6509" width="14.7109375" style="48" customWidth="1"/>
    <col min="6510" max="6510" width="0.85546875" style="48" customWidth="1"/>
    <col min="6511" max="6512" width="14.7109375" style="48" customWidth="1"/>
    <col min="6513" max="6513" width="0.85546875" style="48" customWidth="1"/>
    <col min="6514" max="6514" width="14.7109375" style="48" customWidth="1"/>
    <col min="6515" max="6515" width="0.85546875" style="48" customWidth="1"/>
    <col min="6516" max="6520" width="6.7109375" style="48" customWidth="1"/>
    <col min="6521" max="6521" width="14.5703125" style="48" customWidth="1"/>
    <col min="6522" max="6755" width="11.42578125" style="48"/>
    <col min="6756" max="6756" width="4" style="48" customWidth="1"/>
    <col min="6757" max="6757" width="24.7109375" style="48" customWidth="1"/>
    <col min="6758" max="6758" width="0.85546875" style="48" customWidth="1"/>
    <col min="6759" max="6759" width="10.7109375" style="48" customWidth="1"/>
    <col min="6760" max="6760" width="0.85546875" style="48" customWidth="1"/>
    <col min="6761" max="6761" width="16.85546875" style="48" customWidth="1"/>
    <col min="6762" max="6762" width="21.28515625" style="48" customWidth="1"/>
    <col min="6763" max="6763" width="0.85546875" style="48" customWidth="1"/>
    <col min="6764" max="6765" width="14.7109375" style="48" customWidth="1"/>
    <col min="6766" max="6766" width="0.85546875" style="48" customWidth="1"/>
    <col min="6767" max="6768" width="14.7109375" style="48" customWidth="1"/>
    <col min="6769" max="6769" width="0.85546875" style="48" customWidth="1"/>
    <col min="6770" max="6770" width="14.7109375" style="48" customWidth="1"/>
    <col min="6771" max="6771" width="0.85546875" style="48" customWidth="1"/>
    <col min="6772" max="6776" width="6.7109375" style="48" customWidth="1"/>
    <col min="6777" max="6777" width="14.5703125" style="48" customWidth="1"/>
    <col min="6778" max="7011" width="11.42578125" style="48"/>
    <col min="7012" max="7012" width="4" style="48" customWidth="1"/>
    <col min="7013" max="7013" width="24.7109375" style="48" customWidth="1"/>
    <col min="7014" max="7014" width="0.85546875" style="48" customWidth="1"/>
    <col min="7015" max="7015" width="10.7109375" style="48" customWidth="1"/>
    <col min="7016" max="7016" width="0.85546875" style="48" customWidth="1"/>
    <col min="7017" max="7017" width="16.85546875" style="48" customWidth="1"/>
    <col min="7018" max="7018" width="21.28515625" style="48" customWidth="1"/>
    <col min="7019" max="7019" width="0.85546875" style="48" customWidth="1"/>
    <col min="7020" max="7021" width="14.7109375" style="48" customWidth="1"/>
    <col min="7022" max="7022" width="0.85546875" style="48" customWidth="1"/>
    <col min="7023" max="7024" width="14.7109375" style="48" customWidth="1"/>
    <col min="7025" max="7025" width="0.85546875" style="48" customWidth="1"/>
    <col min="7026" max="7026" width="14.7109375" style="48" customWidth="1"/>
    <col min="7027" max="7027" width="0.85546875" style="48" customWidth="1"/>
    <col min="7028" max="7032" width="6.7109375" style="48" customWidth="1"/>
    <col min="7033" max="7033" width="14.5703125" style="48" customWidth="1"/>
    <col min="7034" max="7267" width="11.42578125" style="48"/>
    <col min="7268" max="7268" width="4" style="48" customWidth="1"/>
    <col min="7269" max="7269" width="24.7109375" style="48" customWidth="1"/>
    <col min="7270" max="7270" width="0.85546875" style="48" customWidth="1"/>
    <col min="7271" max="7271" width="10.7109375" style="48" customWidth="1"/>
    <col min="7272" max="7272" width="0.85546875" style="48" customWidth="1"/>
    <col min="7273" max="7273" width="16.85546875" style="48" customWidth="1"/>
    <col min="7274" max="7274" width="21.28515625" style="48" customWidth="1"/>
    <col min="7275" max="7275" width="0.85546875" style="48" customWidth="1"/>
    <col min="7276" max="7277" width="14.7109375" style="48" customWidth="1"/>
    <col min="7278" max="7278" width="0.85546875" style="48" customWidth="1"/>
    <col min="7279" max="7280" width="14.7109375" style="48" customWidth="1"/>
    <col min="7281" max="7281" width="0.85546875" style="48" customWidth="1"/>
    <col min="7282" max="7282" width="14.7109375" style="48" customWidth="1"/>
    <col min="7283" max="7283" width="0.85546875" style="48" customWidth="1"/>
    <col min="7284" max="7288" width="6.7109375" style="48" customWidth="1"/>
    <col min="7289" max="7289" width="14.5703125" style="48" customWidth="1"/>
    <col min="7290" max="7523" width="11.42578125" style="48"/>
    <col min="7524" max="7524" width="4" style="48" customWidth="1"/>
    <col min="7525" max="7525" width="24.7109375" style="48" customWidth="1"/>
    <col min="7526" max="7526" width="0.85546875" style="48" customWidth="1"/>
    <col min="7527" max="7527" width="10.7109375" style="48" customWidth="1"/>
    <col min="7528" max="7528" width="0.85546875" style="48" customWidth="1"/>
    <col min="7529" max="7529" width="16.85546875" style="48" customWidth="1"/>
    <col min="7530" max="7530" width="21.28515625" style="48" customWidth="1"/>
    <col min="7531" max="7531" width="0.85546875" style="48" customWidth="1"/>
    <col min="7532" max="7533" width="14.7109375" style="48" customWidth="1"/>
    <col min="7534" max="7534" width="0.85546875" style="48" customWidth="1"/>
    <col min="7535" max="7536" width="14.7109375" style="48" customWidth="1"/>
    <col min="7537" max="7537" width="0.85546875" style="48" customWidth="1"/>
    <col min="7538" max="7538" width="14.7109375" style="48" customWidth="1"/>
    <col min="7539" max="7539" width="0.85546875" style="48" customWidth="1"/>
    <col min="7540" max="7544" width="6.7109375" style="48" customWidth="1"/>
    <col min="7545" max="7545" width="14.5703125" style="48" customWidth="1"/>
    <col min="7546" max="7779" width="11.42578125" style="48"/>
    <col min="7780" max="7780" width="4" style="48" customWidth="1"/>
    <col min="7781" max="7781" width="24.7109375" style="48" customWidth="1"/>
    <col min="7782" max="7782" width="0.85546875" style="48" customWidth="1"/>
    <col min="7783" max="7783" width="10.7109375" style="48" customWidth="1"/>
    <col min="7784" max="7784" width="0.85546875" style="48" customWidth="1"/>
    <col min="7785" max="7785" width="16.85546875" style="48" customWidth="1"/>
    <col min="7786" max="7786" width="21.28515625" style="48" customWidth="1"/>
    <col min="7787" max="7787" width="0.85546875" style="48" customWidth="1"/>
    <col min="7788" max="7789" width="14.7109375" style="48" customWidth="1"/>
    <col min="7790" max="7790" width="0.85546875" style="48" customWidth="1"/>
    <col min="7791" max="7792" width="14.7109375" style="48" customWidth="1"/>
    <col min="7793" max="7793" width="0.85546875" style="48" customWidth="1"/>
    <col min="7794" max="7794" width="14.7109375" style="48" customWidth="1"/>
    <col min="7795" max="7795" width="0.85546875" style="48" customWidth="1"/>
    <col min="7796" max="7800" width="6.7109375" style="48" customWidth="1"/>
    <col min="7801" max="7801" width="14.5703125" style="48" customWidth="1"/>
    <col min="7802" max="8035" width="11.42578125" style="48"/>
    <col min="8036" max="8036" width="4" style="48" customWidth="1"/>
    <col min="8037" max="8037" width="24.7109375" style="48" customWidth="1"/>
    <col min="8038" max="8038" width="0.85546875" style="48" customWidth="1"/>
    <col min="8039" max="8039" width="10.7109375" style="48" customWidth="1"/>
    <col min="8040" max="8040" width="0.85546875" style="48" customWidth="1"/>
    <col min="8041" max="8041" width="16.85546875" style="48" customWidth="1"/>
    <col min="8042" max="8042" width="21.28515625" style="48" customWidth="1"/>
    <col min="8043" max="8043" width="0.85546875" style="48" customWidth="1"/>
    <col min="8044" max="8045" width="14.7109375" style="48" customWidth="1"/>
    <col min="8046" max="8046" width="0.85546875" style="48" customWidth="1"/>
    <col min="8047" max="8048" width="14.7109375" style="48" customWidth="1"/>
    <col min="8049" max="8049" width="0.85546875" style="48" customWidth="1"/>
    <col min="8050" max="8050" width="14.7109375" style="48" customWidth="1"/>
    <col min="8051" max="8051" width="0.85546875" style="48" customWidth="1"/>
    <col min="8052" max="8056" width="6.7109375" style="48" customWidth="1"/>
    <col min="8057" max="8057" width="14.5703125" style="48" customWidth="1"/>
    <col min="8058" max="8291" width="11.42578125" style="48"/>
    <col min="8292" max="8292" width="4" style="48" customWidth="1"/>
    <col min="8293" max="8293" width="24.7109375" style="48" customWidth="1"/>
    <col min="8294" max="8294" width="0.85546875" style="48" customWidth="1"/>
    <col min="8295" max="8295" width="10.7109375" style="48" customWidth="1"/>
    <col min="8296" max="8296" width="0.85546875" style="48" customWidth="1"/>
    <col min="8297" max="8297" width="16.85546875" style="48" customWidth="1"/>
    <col min="8298" max="8298" width="21.28515625" style="48" customWidth="1"/>
    <col min="8299" max="8299" width="0.85546875" style="48" customWidth="1"/>
    <col min="8300" max="8301" width="14.7109375" style="48" customWidth="1"/>
    <col min="8302" max="8302" width="0.85546875" style="48" customWidth="1"/>
    <col min="8303" max="8304" width="14.7109375" style="48" customWidth="1"/>
    <col min="8305" max="8305" width="0.85546875" style="48" customWidth="1"/>
    <col min="8306" max="8306" width="14.7109375" style="48" customWidth="1"/>
    <col min="8307" max="8307" width="0.85546875" style="48" customWidth="1"/>
    <col min="8308" max="8312" width="6.7109375" style="48" customWidth="1"/>
    <col min="8313" max="8313" width="14.5703125" style="48" customWidth="1"/>
    <col min="8314" max="8547" width="11.42578125" style="48"/>
    <col min="8548" max="8548" width="4" style="48" customWidth="1"/>
    <col min="8549" max="8549" width="24.7109375" style="48" customWidth="1"/>
    <col min="8550" max="8550" width="0.85546875" style="48" customWidth="1"/>
    <col min="8551" max="8551" width="10.7109375" style="48" customWidth="1"/>
    <col min="8552" max="8552" width="0.85546875" style="48" customWidth="1"/>
    <col min="8553" max="8553" width="16.85546875" style="48" customWidth="1"/>
    <col min="8554" max="8554" width="21.28515625" style="48" customWidth="1"/>
    <col min="8555" max="8555" width="0.85546875" style="48" customWidth="1"/>
    <col min="8556" max="8557" width="14.7109375" style="48" customWidth="1"/>
    <col min="8558" max="8558" width="0.85546875" style="48" customWidth="1"/>
    <col min="8559" max="8560" width="14.7109375" style="48" customWidth="1"/>
    <col min="8561" max="8561" width="0.85546875" style="48" customWidth="1"/>
    <col min="8562" max="8562" width="14.7109375" style="48" customWidth="1"/>
    <col min="8563" max="8563" width="0.85546875" style="48" customWidth="1"/>
    <col min="8564" max="8568" width="6.7109375" style="48" customWidth="1"/>
    <col min="8569" max="8569" width="14.5703125" style="48" customWidth="1"/>
    <col min="8570" max="8803" width="11.42578125" style="48"/>
    <col min="8804" max="8804" width="4" style="48" customWidth="1"/>
    <col min="8805" max="8805" width="24.7109375" style="48" customWidth="1"/>
    <col min="8806" max="8806" width="0.85546875" style="48" customWidth="1"/>
    <col min="8807" max="8807" width="10.7109375" style="48" customWidth="1"/>
    <col min="8808" max="8808" width="0.85546875" style="48" customWidth="1"/>
    <col min="8809" max="8809" width="16.85546875" style="48" customWidth="1"/>
    <col min="8810" max="8810" width="21.28515625" style="48" customWidth="1"/>
    <col min="8811" max="8811" width="0.85546875" style="48" customWidth="1"/>
    <col min="8812" max="8813" width="14.7109375" style="48" customWidth="1"/>
    <col min="8814" max="8814" width="0.85546875" style="48" customWidth="1"/>
    <col min="8815" max="8816" width="14.7109375" style="48" customWidth="1"/>
    <col min="8817" max="8817" width="0.85546875" style="48" customWidth="1"/>
    <col min="8818" max="8818" width="14.7109375" style="48" customWidth="1"/>
    <col min="8819" max="8819" width="0.85546875" style="48" customWidth="1"/>
    <col min="8820" max="8824" width="6.7109375" style="48" customWidth="1"/>
    <col min="8825" max="8825" width="14.5703125" style="48" customWidth="1"/>
    <col min="8826" max="9059" width="11.42578125" style="48"/>
    <col min="9060" max="9060" width="4" style="48" customWidth="1"/>
    <col min="9061" max="9061" width="24.7109375" style="48" customWidth="1"/>
    <col min="9062" max="9062" width="0.85546875" style="48" customWidth="1"/>
    <col min="9063" max="9063" width="10.7109375" style="48" customWidth="1"/>
    <col min="9064" max="9064" width="0.85546875" style="48" customWidth="1"/>
    <col min="9065" max="9065" width="16.85546875" style="48" customWidth="1"/>
    <col min="9066" max="9066" width="21.28515625" style="48" customWidth="1"/>
    <col min="9067" max="9067" width="0.85546875" style="48" customWidth="1"/>
    <col min="9068" max="9069" width="14.7109375" style="48" customWidth="1"/>
    <col min="9070" max="9070" width="0.85546875" style="48" customWidth="1"/>
    <col min="9071" max="9072" width="14.7109375" style="48" customWidth="1"/>
    <col min="9073" max="9073" width="0.85546875" style="48" customWidth="1"/>
    <col min="9074" max="9074" width="14.7109375" style="48" customWidth="1"/>
    <col min="9075" max="9075" width="0.85546875" style="48" customWidth="1"/>
    <col min="9076" max="9080" width="6.7109375" style="48" customWidth="1"/>
    <col min="9081" max="9081" width="14.5703125" style="48" customWidth="1"/>
    <col min="9082" max="9315" width="11.42578125" style="48"/>
    <col min="9316" max="9316" width="4" style="48" customWidth="1"/>
    <col min="9317" max="9317" width="24.7109375" style="48" customWidth="1"/>
    <col min="9318" max="9318" width="0.85546875" style="48" customWidth="1"/>
    <col min="9319" max="9319" width="10.7109375" style="48" customWidth="1"/>
    <col min="9320" max="9320" width="0.85546875" style="48" customWidth="1"/>
    <col min="9321" max="9321" width="16.85546875" style="48" customWidth="1"/>
    <col min="9322" max="9322" width="21.28515625" style="48" customWidth="1"/>
    <col min="9323" max="9323" width="0.85546875" style="48" customWidth="1"/>
    <col min="9324" max="9325" width="14.7109375" style="48" customWidth="1"/>
    <col min="9326" max="9326" width="0.85546875" style="48" customWidth="1"/>
    <col min="9327" max="9328" width="14.7109375" style="48" customWidth="1"/>
    <col min="9329" max="9329" width="0.85546875" style="48" customWidth="1"/>
    <col min="9330" max="9330" width="14.7109375" style="48" customWidth="1"/>
    <col min="9331" max="9331" width="0.85546875" style="48" customWidth="1"/>
    <col min="9332" max="9336" width="6.7109375" style="48" customWidth="1"/>
    <col min="9337" max="9337" width="14.5703125" style="48" customWidth="1"/>
    <col min="9338" max="9571" width="11.42578125" style="48"/>
    <col min="9572" max="9572" width="4" style="48" customWidth="1"/>
    <col min="9573" max="9573" width="24.7109375" style="48" customWidth="1"/>
    <col min="9574" max="9574" width="0.85546875" style="48" customWidth="1"/>
    <col min="9575" max="9575" width="10.7109375" style="48" customWidth="1"/>
    <col min="9576" max="9576" width="0.85546875" style="48" customWidth="1"/>
    <col min="9577" max="9577" width="16.85546875" style="48" customWidth="1"/>
    <col min="9578" max="9578" width="21.28515625" style="48" customWidth="1"/>
    <col min="9579" max="9579" width="0.85546875" style="48" customWidth="1"/>
    <col min="9580" max="9581" width="14.7109375" style="48" customWidth="1"/>
    <col min="9582" max="9582" width="0.85546875" style="48" customWidth="1"/>
    <col min="9583" max="9584" width="14.7109375" style="48" customWidth="1"/>
    <col min="9585" max="9585" width="0.85546875" style="48" customWidth="1"/>
    <col min="9586" max="9586" width="14.7109375" style="48" customWidth="1"/>
    <col min="9587" max="9587" width="0.85546875" style="48" customWidth="1"/>
    <col min="9588" max="9592" width="6.7109375" style="48" customWidth="1"/>
    <col min="9593" max="9593" width="14.5703125" style="48" customWidth="1"/>
    <col min="9594" max="9827" width="11.42578125" style="48"/>
    <col min="9828" max="9828" width="4" style="48" customWidth="1"/>
    <col min="9829" max="9829" width="24.7109375" style="48" customWidth="1"/>
    <col min="9830" max="9830" width="0.85546875" style="48" customWidth="1"/>
    <col min="9831" max="9831" width="10.7109375" style="48" customWidth="1"/>
    <col min="9832" max="9832" width="0.85546875" style="48" customWidth="1"/>
    <col min="9833" max="9833" width="16.85546875" style="48" customWidth="1"/>
    <col min="9834" max="9834" width="21.28515625" style="48" customWidth="1"/>
    <col min="9835" max="9835" width="0.85546875" style="48" customWidth="1"/>
    <col min="9836" max="9837" width="14.7109375" style="48" customWidth="1"/>
    <col min="9838" max="9838" width="0.85546875" style="48" customWidth="1"/>
    <col min="9839" max="9840" width="14.7109375" style="48" customWidth="1"/>
    <col min="9841" max="9841" width="0.85546875" style="48" customWidth="1"/>
    <col min="9842" max="9842" width="14.7109375" style="48" customWidth="1"/>
    <col min="9843" max="9843" width="0.85546875" style="48" customWidth="1"/>
    <col min="9844" max="9848" width="6.7109375" style="48" customWidth="1"/>
    <col min="9849" max="9849" width="14.5703125" style="48" customWidth="1"/>
    <col min="9850" max="10083" width="11.42578125" style="48"/>
    <col min="10084" max="10084" width="4" style="48" customWidth="1"/>
    <col min="10085" max="10085" width="24.7109375" style="48" customWidth="1"/>
    <col min="10086" max="10086" width="0.85546875" style="48" customWidth="1"/>
    <col min="10087" max="10087" width="10.7109375" style="48" customWidth="1"/>
    <col min="10088" max="10088" width="0.85546875" style="48" customWidth="1"/>
    <col min="10089" max="10089" width="16.85546875" style="48" customWidth="1"/>
    <col min="10090" max="10090" width="21.28515625" style="48" customWidth="1"/>
    <col min="10091" max="10091" width="0.85546875" style="48" customWidth="1"/>
    <col min="10092" max="10093" width="14.7109375" style="48" customWidth="1"/>
    <col min="10094" max="10094" width="0.85546875" style="48" customWidth="1"/>
    <col min="10095" max="10096" width="14.7109375" style="48" customWidth="1"/>
    <col min="10097" max="10097" width="0.85546875" style="48" customWidth="1"/>
    <col min="10098" max="10098" width="14.7109375" style="48" customWidth="1"/>
    <col min="10099" max="10099" width="0.85546875" style="48" customWidth="1"/>
    <col min="10100" max="10104" width="6.7109375" style="48" customWidth="1"/>
    <col min="10105" max="10105" width="14.5703125" style="48" customWidth="1"/>
    <col min="10106" max="10339" width="11.42578125" style="48"/>
    <col min="10340" max="10340" width="4" style="48" customWidth="1"/>
    <col min="10341" max="10341" width="24.7109375" style="48" customWidth="1"/>
    <col min="10342" max="10342" width="0.85546875" style="48" customWidth="1"/>
    <col min="10343" max="10343" width="10.7109375" style="48" customWidth="1"/>
    <col min="10344" max="10344" width="0.85546875" style="48" customWidth="1"/>
    <col min="10345" max="10345" width="16.85546875" style="48" customWidth="1"/>
    <col min="10346" max="10346" width="21.28515625" style="48" customWidth="1"/>
    <col min="10347" max="10347" width="0.85546875" style="48" customWidth="1"/>
    <col min="10348" max="10349" width="14.7109375" style="48" customWidth="1"/>
    <col min="10350" max="10350" width="0.85546875" style="48" customWidth="1"/>
    <col min="10351" max="10352" width="14.7109375" style="48" customWidth="1"/>
    <col min="10353" max="10353" width="0.85546875" style="48" customWidth="1"/>
    <col min="10354" max="10354" width="14.7109375" style="48" customWidth="1"/>
    <col min="10355" max="10355" width="0.85546875" style="48" customWidth="1"/>
    <col min="10356" max="10360" width="6.7109375" style="48" customWidth="1"/>
    <col min="10361" max="10361" width="14.5703125" style="48" customWidth="1"/>
    <col min="10362" max="10595" width="11.42578125" style="48"/>
    <col min="10596" max="10596" width="4" style="48" customWidth="1"/>
    <col min="10597" max="10597" width="24.7109375" style="48" customWidth="1"/>
    <col min="10598" max="10598" width="0.85546875" style="48" customWidth="1"/>
    <col min="10599" max="10599" width="10.7109375" style="48" customWidth="1"/>
    <col min="10600" max="10600" width="0.85546875" style="48" customWidth="1"/>
    <col min="10601" max="10601" width="16.85546875" style="48" customWidth="1"/>
    <col min="10602" max="10602" width="21.28515625" style="48" customWidth="1"/>
    <col min="10603" max="10603" width="0.85546875" style="48" customWidth="1"/>
    <col min="10604" max="10605" width="14.7109375" style="48" customWidth="1"/>
    <col min="10606" max="10606" width="0.85546875" style="48" customWidth="1"/>
    <col min="10607" max="10608" width="14.7109375" style="48" customWidth="1"/>
    <col min="10609" max="10609" width="0.85546875" style="48" customWidth="1"/>
    <col min="10610" max="10610" width="14.7109375" style="48" customWidth="1"/>
    <col min="10611" max="10611" width="0.85546875" style="48" customWidth="1"/>
    <col min="10612" max="10616" width="6.7109375" style="48" customWidth="1"/>
    <col min="10617" max="10617" width="14.5703125" style="48" customWidth="1"/>
    <col min="10618" max="10851" width="11.42578125" style="48"/>
    <col min="10852" max="10852" width="4" style="48" customWidth="1"/>
    <col min="10853" max="10853" width="24.7109375" style="48" customWidth="1"/>
    <col min="10854" max="10854" width="0.85546875" style="48" customWidth="1"/>
    <col min="10855" max="10855" width="10.7109375" style="48" customWidth="1"/>
    <col min="10856" max="10856" width="0.85546875" style="48" customWidth="1"/>
    <col min="10857" max="10857" width="16.85546875" style="48" customWidth="1"/>
    <col min="10858" max="10858" width="21.28515625" style="48" customWidth="1"/>
    <col min="10859" max="10859" width="0.85546875" style="48" customWidth="1"/>
    <col min="10860" max="10861" width="14.7109375" style="48" customWidth="1"/>
    <col min="10862" max="10862" width="0.85546875" style="48" customWidth="1"/>
    <col min="10863" max="10864" width="14.7109375" style="48" customWidth="1"/>
    <col min="10865" max="10865" width="0.85546875" style="48" customWidth="1"/>
    <col min="10866" max="10866" width="14.7109375" style="48" customWidth="1"/>
    <col min="10867" max="10867" width="0.85546875" style="48" customWidth="1"/>
    <col min="10868" max="10872" width="6.7109375" style="48" customWidth="1"/>
    <col min="10873" max="10873" width="14.5703125" style="48" customWidth="1"/>
    <col min="10874" max="11107" width="11.42578125" style="48"/>
    <col min="11108" max="11108" width="4" style="48" customWidth="1"/>
    <col min="11109" max="11109" width="24.7109375" style="48" customWidth="1"/>
    <col min="11110" max="11110" width="0.85546875" style="48" customWidth="1"/>
    <col min="11111" max="11111" width="10.7109375" style="48" customWidth="1"/>
    <col min="11112" max="11112" width="0.85546875" style="48" customWidth="1"/>
    <col min="11113" max="11113" width="16.85546875" style="48" customWidth="1"/>
    <col min="11114" max="11114" width="21.28515625" style="48" customWidth="1"/>
    <col min="11115" max="11115" width="0.85546875" style="48" customWidth="1"/>
    <col min="11116" max="11117" width="14.7109375" style="48" customWidth="1"/>
    <col min="11118" max="11118" width="0.85546875" style="48" customWidth="1"/>
    <col min="11119" max="11120" width="14.7109375" style="48" customWidth="1"/>
    <col min="11121" max="11121" width="0.85546875" style="48" customWidth="1"/>
    <col min="11122" max="11122" width="14.7109375" style="48" customWidth="1"/>
    <col min="11123" max="11123" width="0.85546875" style="48" customWidth="1"/>
    <col min="11124" max="11128" width="6.7109375" style="48" customWidth="1"/>
    <col min="11129" max="11129" width="14.5703125" style="48" customWidth="1"/>
    <col min="11130" max="11363" width="11.42578125" style="48"/>
    <col min="11364" max="11364" width="4" style="48" customWidth="1"/>
    <col min="11365" max="11365" width="24.7109375" style="48" customWidth="1"/>
    <col min="11366" max="11366" width="0.85546875" style="48" customWidth="1"/>
    <col min="11367" max="11367" width="10.7109375" style="48" customWidth="1"/>
    <col min="11368" max="11368" width="0.85546875" style="48" customWidth="1"/>
    <col min="11369" max="11369" width="16.85546875" style="48" customWidth="1"/>
    <col min="11370" max="11370" width="21.28515625" style="48" customWidth="1"/>
    <col min="11371" max="11371" width="0.85546875" style="48" customWidth="1"/>
    <col min="11372" max="11373" width="14.7109375" style="48" customWidth="1"/>
    <col min="11374" max="11374" width="0.85546875" style="48" customWidth="1"/>
    <col min="11375" max="11376" width="14.7109375" style="48" customWidth="1"/>
    <col min="11377" max="11377" width="0.85546875" style="48" customWidth="1"/>
    <col min="11378" max="11378" width="14.7109375" style="48" customWidth="1"/>
    <col min="11379" max="11379" width="0.85546875" style="48" customWidth="1"/>
    <col min="11380" max="11384" width="6.7109375" style="48" customWidth="1"/>
    <col min="11385" max="11385" width="14.5703125" style="48" customWidth="1"/>
    <col min="11386" max="11619" width="11.42578125" style="48"/>
    <col min="11620" max="11620" width="4" style="48" customWidth="1"/>
    <col min="11621" max="11621" width="24.7109375" style="48" customWidth="1"/>
    <col min="11622" max="11622" width="0.85546875" style="48" customWidth="1"/>
    <col min="11623" max="11623" width="10.7109375" style="48" customWidth="1"/>
    <col min="11624" max="11624" width="0.85546875" style="48" customWidth="1"/>
    <col min="11625" max="11625" width="16.85546875" style="48" customWidth="1"/>
    <col min="11626" max="11626" width="21.28515625" style="48" customWidth="1"/>
    <col min="11627" max="11627" width="0.85546875" style="48" customWidth="1"/>
    <col min="11628" max="11629" width="14.7109375" style="48" customWidth="1"/>
    <col min="11630" max="11630" width="0.85546875" style="48" customWidth="1"/>
    <col min="11631" max="11632" width="14.7109375" style="48" customWidth="1"/>
    <col min="11633" max="11633" width="0.85546875" style="48" customWidth="1"/>
    <col min="11634" max="11634" width="14.7109375" style="48" customWidth="1"/>
    <col min="11635" max="11635" width="0.85546875" style="48" customWidth="1"/>
    <col min="11636" max="11640" width="6.7109375" style="48" customWidth="1"/>
    <col min="11641" max="11641" width="14.5703125" style="48" customWidth="1"/>
    <col min="11642" max="11875" width="11.42578125" style="48"/>
    <col min="11876" max="11876" width="4" style="48" customWidth="1"/>
    <col min="11877" max="11877" width="24.7109375" style="48" customWidth="1"/>
    <col min="11878" max="11878" width="0.85546875" style="48" customWidth="1"/>
    <col min="11879" max="11879" width="10.7109375" style="48" customWidth="1"/>
    <col min="11880" max="11880" width="0.85546875" style="48" customWidth="1"/>
    <col min="11881" max="11881" width="16.85546875" style="48" customWidth="1"/>
    <col min="11882" max="11882" width="21.28515625" style="48" customWidth="1"/>
    <col min="11883" max="11883" width="0.85546875" style="48" customWidth="1"/>
    <col min="11884" max="11885" width="14.7109375" style="48" customWidth="1"/>
    <col min="11886" max="11886" width="0.85546875" style="48" customWidth="1"/>
    <col min="11887" max="11888" width="14.7109375" style="48" customWidth="1"/>
    <col min="11889" max="11889" width="0.85546875" style="48" customWidth="1"/>
    <col min="11890" max="11890" width="14.7109375" style="48" customWidth="1"/>
    <col min="11891" max="11891" width="0.85546875" style="48" customWidth="1"/>
    <col min="11892" max="11896" width="6.7109375" style="48" customWidth="1"/>
    <col min="11897" max="11897" width="14.5703125" style="48" customWidth="1"/>
    <col min="11898" max="12131" width="11.42578125" style="48"/>
    <col min="12132" max="12132" width="4" style="48" customWidth="1"/>
    <col min="12133" max="12133" width="24.7109375" style="48" customWidth="1"/>
    <col min="12134" max="12134" width="0.85546875" style="48" customWidth="1"/>
    <col min="12135" max="12135" width="10.7109375" style="48" customWidth="1"/>
    <col min="12136" max="12136" width="0.85546875" style="48" customWidth="1"/>
    <col min="12137" max="12137" width="16.85546875" style="48" customWidth="1"/>
    <col min="12138" max="12138" width="21.28515625" style="48" customWidth="1"/>
    <col min="12139" max="12139" width="0.85546875" style="48" customWidth="1"/>
    <col min="12140" max="12141" width="14.7109375" style="48" customWidth="1"/>
    <col min="12142" max="12142" width="0.85546875" style="48" customWidth="1"/>
    <col min="12143" max="12144" width="14.7109375" style="48" customWidth="1"/>
    <col min="12145" max="12145" width="0.85546875" style="48" customWidth="1"/>
    <col min="12146" max="12146" width="14.7109375" style="48" customWidth="1"/>
    <col min="12147" max="12147" width="0.85546875" style="48" customWidth="1"/>
    <col min="12148" max="12152" width="6.7109375" style="48" customWidth="1"/>
    <col min="12153" max="12153" width="14.5703125" style="48" customWidth="1"/>
    <col min="12154" max="12387" width="11.42578125" style="48"/>
    <col min="12388" max="12388" width="4" style="48" customWidth="1"/>
    <col min="12389" max="12389" width="24.7109375" style="48" customWidth="1"/>
    <col min="12390" max="12390" width="0.85546875" style="48" customWidth="1"/>
    <col min="12391" max="12391" width="10.7109375" style="48" customWidth="1"/>
    <col min="12392" max="12392" width="0.85546875" style="48" customWidth="1"/>
    <col min="12393" max="12393" width="16.85546875" style="48" customWidth="1"/>
    <col min="12394" max="12394" width="21.28515625" style="48" customWidth="1"/>
    <col min="12395" max="12395" width="0.85546875" style="48" customWidth="1"/>
    <col min="12396" max="12397" width="14.7109375" style="48" customWidth="1"/>
    <col min="12398" max="12398" width="0.85546875" style="48" customWidth="1"/>
    <col min="12399" max="12400" width="14.7109375" style="48" customWidth="1"/>
    <col min="12401" max="12401" width="0.85546875" style="48" customWidth="1"/>
    <col min="12402" max="12402" width="14.7109375" style="48" customWidth="1"/>
    <col min="12403" max="12403" width="0.85546875" style="48" customWidth="1"/>
    <col min="12404" max="12408" width="6.7109375" style="48" customWidth="1"/>
    <col min="12409" max="12409" width="14.5703125" style="48" customWidth="1"/>
    <col min="12410" max="12643" width="11.42578125" style="48"/>
    <col min="12644" max="12644" width="4" style="48" customWidth="1"/>
    <col min="12645" max="12645" width="24.7109375" style="48" customWidth="1"/>
    <col min="12646" max="12646" width="0.85546875" style="48" customWidth="1"/>
    <col min="12647" max="12647" width="10.7109375" style="48" customWidth="1"/>
    <col min="12648" max="12648" width="0.85546875" style="48" customWidth="1"/>
    <col min="12649" max="12649" width="16.85546875" style="48" customWidth="1"/>
    <col min="12650" max="12650" width="21.28515625" style="48" customWidth="1"/>
    <col min="12651" max="12651" width="0.85546875" style="48" customWidth="1"/>
    <col min="12652" max="12653" width="14.7109375" style="48" customWidth="1"/>
    <col min="12654" max="12654" width="0.85546875" style="48" customWidth="1"/>
    <col min="12655" max="12656" width="14.7109375" style="48" customWidth="1"/>
    <col min="12657" max="12657" width="0.85546875" style="48" customWidth="1"/>
    <col min="12658" max="12658" width="14.7109375" style="48" customWidth="1"/>
    <col min="12659" max="12659" width="0.85546875" style="48" customWidth="1"/>
    <col min="12660" max="12664" width="6.7109375" style="48" customWidth="1"/>
    <col min="12665" max="12665" width="14.5703125" style="48" customWidth="1"/>
    <col min="12666" max="12899" width="11.42578125" style="48"/>
    <col min="12900" max="12900" width="4" style="48" customWidth="1"/>
    <col min="12901" max="12901" width="24.7109375" style="48" customWidth="1"/>
    <col min="12902" max="12902" width="0.85546875" style="48" customWidth="1"/>
    <col min="12903" max="12903" width="10.7109375" style="48" customWidth="1"/>
    <col min="12904" max="12904" width="0.85546875" style="48" customWidth="1"/>
    <col min="12905" max="12905" width="16.85546875" style="48" customWidth="1"/>
    <col min="12906" max="12906" width="21.28515625" style="48" customWidth="1"/>
    <col min="12907" max="12907" width="0.85546875" style="48" customWidth="1"/>
    <col min="12908" max="12909" width="14.7109375" style="48" customWidth="1"/>
    <col min="12910" max="12910" width="0.85546875" style="48" customWidth="1"/>
    <col min="12911" max="12912" width="14.7109375" style="48" customWidth="1"/>
    <col min="12913" max="12913" width="0.85546875" style="48" customWidth="1"/>
    <col min="12914" max="12914" width="14.7109375" style="48" customWidth="1"/>
    <col min="12915" max="12915" width="0.85546875" style="48" customWidth="1"/>
    <col min="12916" max="12920" width="6.7109375" style="48" customWidth="1"/>
    <col min="12921" max="12921" width="14.5703125" style="48" customWidth="1"/>
    <col min="12922" max="13155" width="11.42578125" style="48"/>
    <col min="13156" max="13156" width="4" style="48" customWidth="1"/>
    <col min="13157" max="13157" width="24.7109375" style="48" customWidth="1"/>
    <col min="13158" max="13158" width="0.85546875" style="48" customWidth="1"/>
    <col min="13159" max="13159" width="10.7109375" style="48" customWidth="1"/>
    <col min="13160" max="13160" width="0.85546875" style="48" customWidth="1"/>
    <col min="13161" max="13161" width="16.85546875" style="48" customWidth="1"/>
    <col min="13162" max="13162" width="21.28515625" style="48" customWidth="1"/>
    <col min="13163" max="13163" width="0.85546875" style="48" customWidth="1"/>
    <col min="13164" max="13165" width="14.7109375" style="48" customWidth="1"/>
    <col min="13166" max="13166" width="0.85546875" style="48" customWidth="1"/>
    <col min="13167" max="13168" width="14.7109375" style="48" customWidth="1"/>
    <col min="13169" max="13169" width="0.85546875" style="48" customWidth="1"/>
    <col min="13170" max="13170" width="14.7109375" style="48" customWidth="1"/>
    <col min="13171" max="13171" width="0.85546875" style="48" customWidth="1"/>
    <col min="13172" max="13176" width="6.7109375" style="48" customWidth="1"/>
    <col min="13177" max="13177" width="14.5703125" style="48" customWidth="1"/>
    <col min="13178" max="13411" width="11.42578125" style="48"/>
    <col min="13412" max="13412" width="4" style="48" customWidth="1"/>
    <col min="13413" max="13413" width="24.7109375" style="48" customWidth="1"/>
    <col min="13414" max="13414" width="0.85546875" style="48" customWidth="1"/>
    <col min="13415" max="13415" width="10.7109375" style="48" customWidth="1"/>
    <col min="13416" max="13416" width="0.85546875" style="48" customWidth="1"/>
    <col min="13417" max="13417" width="16.85546875" style="48" customWidth="1"/>
    <col min="13418" max="13418" width="21.28515625" style="48" customWidth="1"/>
    <col min="13419" max="13419" width="0.85546875" style="48" customWidth="1"/>
    <col min="13420" max="13421" width="14.7109375" style="48" customWidth="1"/>
    <col min="13422" max="13422" width="0.85546875" style="48" customWidth="1"/>
    <col min="13423" max="13424" width="14.7109375" style="48" customWidth="1"/>
    <col min="13425" max="13425" width="0.85546875" style="48" customWidth="1"/>
    <col min="13426" max="13426" width="14.7109375" style="48" customWidth="1"/>
    <col min="13427" max="13427" width="0.85546875" style="48" customWidth="1"/>
    <col min="13428" max="13432" width="6.7109375" style="48" customWidth="1"/>
    <col min="13433" max="13433" width="14.5703125" style="48" customWidth="1"/>
    <col min="13434" max="13667" width="11.42578125" style="48"/>
    <col min="13668" max="13668" width="4" style="48" customWidth="1"/>
    <col min="13669" max="13669" width="24.7109375" style="48" customWidth="1"/>
    <col min="13670" max="13670" width="0.85546875" style="48" customWidth="1"/>
    <col min="13671" max="13671" width="10.7109375" style="48" customWidth="1"/>
    <col min="13672" max="13672" width="0.85546875" style="48" customWidth="1"/>
    <col min="13673" max="13673" width="16.85546875" style="48" customWidth="1"/>
    <col min="13674" max="13674" width="21.28515625" style="48" customWidth="1"/>
    <col min="13675" max="13675" width="0.85546875" style="48" customWidth="1"/>
    <col min="13676" max="13677" width="14.7109375" style="48" customWidth="1"/>
    <col min="13678" max="13678" width="0.85546875" style="48" customWidth="1"/>
    <col min="13679" max="13680" width="14.7109375" style="48" customWidth="1"/>
    <col min="13681" max="13681" width="0.85546875" style="48" customWidth="1"/>
    <col min="13682" max="13682" width="14.7109375" style="48" customWidth="1"/>
    <col min="13683" max="13683" width="0.85546875" style="48" customWidth="1"/>
    <col min="13684" max="13688" width="6.7109375" style="48" customWidth="1"/>
    <col min="13689" max="13689" width="14.5703125" style="48" customWidth="1"/>
    <col min="13690" max="13923" width="11.42578125" style="48"/>
    <col min="13924" max="13924" width="4" style="48" customWidth="1"/>
    <col min="13925" max="13925" width="24.7109375" style="48" customWidth="1"/>
    <col min="13926" max="13926" width="0.85546875" style="48" customWidth="1"/>
    <col min="13927" max="13927" width="10.7109375" style="48" customWidth="1"/>
    <col min="13928" max="13928" width="0.85546875" style="48" customWidth="1"/>
    <col min="13929" max="13929" width="16.85546875" style="48" customWidth="1"/>
    <col min="13930" max="13930" width="21.28515625" style="48" customWidth="1"/>
    <col min="13931" max="13931" width="0.85546875" style="48" customWidth="1"/>
    <col min="13932" max="13933" width="14.7109375" style="48" customWidth="1"/>
    <col min="13934" max="13934" width="0.85546875" style="48" customWidth="1"/>
    <col min="13935" max="13936" width="14.7109375" style="48" customWidth="1"/>
    <col min="13937" max="13937" width="0.85546875" style="48" customWidth="1"/>
    <col min="13938" max="13938" width="14.7109375" style="48" customWidth="1"/>
    <col min="13939" max="13939" width="0.85546875" style="48" customWidth="1"/>
    <col min="13940" max="13944" width="6.7109375" style="48" customWidth="1"/>
    <col min="13945" max="13945" width="14.5703125" style="48" customWidth="1"/>
    <col min="13946" max="14179" width="11.42578125" style="48"/>
    <col min="14180" max="14180" width="4" style="48" customWidth="1"/>
    <col min="14181" max="14181" width="24.7109375" style="48" customWidth="1"/>
    <col min="14182" max="14182" width="0.85546875" style="48" customWidth="1"/>
    <col min="14183" max="14183" width="10.7109375" style="48" customWidth="1"/>
    <col min="14184" max="14184" width="0.85546875" style="48" customWidth="1"/>
    <col min="14185" max="14185" width="16.85546875" style="48" customWidth="1"/>
    <col min="14186" max="14186" width="21.28515625" style="48" customWidth="1"/>
    <col min="14187" max="14187" width="0.85546875" style="48" customWidth="1"/>
    <col min="14188" max="14189" width="14.7109375" style="48" customWidth="1"/>
    <col min="14190" max="14190" width="0.85546875" style="48" customWidth="1"/>
    <col min="14191" max="14192" width="14.7109375" style="48" customWidth="1"/>
    <col min="14193" max="14193" width="0.85546875" style="48" customWidth="1"/>
    <col min="14194" max="14194" width="14.7109375" style="48" customWidth="1"/>
    <col min="14195" max="14195" width="0.85546875" style="48" customWidth="1"/>
    <col min="14196" max="14200" width="6.7109375" style="48" customWidth="1"/>
    <col min="14201" max="14201" width="14.5703125" style="48" customWidth="1"/>
    <col min="14202" max="14435" width="11.42578125" style="48"/>
    <col min="14436" max="14436" width="4" style="48" customWidth="1"/>
    <col min="14437" max="14437" width="24.7109375" style="48" customWidth="1"/>
    <col min="14438" max="14438" width="0.85546875" style="48" customWidth="1"/>
    <col min="14439" max="14439" width="10.7109375" style="48" customWidth="1"/>
    <col min="14440" max="14440" width="0.85546875" style="48" customWidth="1"/>
    <col min="14441" max="14441" width="16.85546875" style="48" customWidth="1"/>
    <col min="14442" max="14442" width="21.28515625" style="48" customWidth="1"/>
    <col min="14443" max="14443" width="0.85546875" style="48" customWidth="1"/>
    <col min="14444" max="14445" width="14.7109375" style="48" customWidth="1"/>
    <col min="14446" max="14446" width="0.85546875" style="48" customWidth="1"/>
    <col min="14447" max="14448" width="14.7109375" style="48" customWidth="1"/>
    <col min="14449" max="14449" width="0.85546875" style="48" customWidth="1"/>
    <col min="14450" max="14450" width="14.7109375" style="48" customWidth="1"/>
    <col min="14451" max="14451" width="0.85546875" style="48" customWidth="1"/>
    <col min="14452" max="14456" width="6.7109375" style="48" customWidth="1"/>
    <col min="14457" max="14457" width="14.5703125" style="48" customWidth="1"/>
    <col min="14458" max="14691" width="11.42578125" style="48"/>
    <col min="14692" max="14692" width="4" style="48" customWidth="1"/>
    <col min="14693" max="14693" width="24.7109375" style="48" customWidth="1"/>
    <col min="14694" max="14694" width="0.85546875" style="48" customWidth="1"/>
    <col min="14695" max="14695" width="10.7109375" style="48" customWidth="1"/>
    <col min="14696" max="14696" width="0.85546875" style="48" customWidth="1"/>
    <col min="14697" max="14697" width="16.85546875" style="48" customWidth="1"/>
    <col min="14698" max="14698" width="21.28515625" style="48" customWidth="1"/>
    <col min="14699" max="14699" width="0.85546875" style="48" customWidth="1"/>
    <col min="14700" max="14701" width="14.7109375" style="48" customWidth="1"/>
    <col min="14702" max="14702" width="0.85546875" style="48" customWidth="1"/>
    <col min="14703" max="14704" width="14.7109375" style="48" customWidth="1"/>
    <col min="14705" max="14705" width="0.85546875" style="48" customWidth="1"/>
    <col min="14706" max="14706" width="14.7109375" style="48" customWidth="1"/>
    <col min="14707" max="14707" width="0.85546875" style="48" customWidth="1"/>
    <col min="14708" max="14712" width="6.7109375" style="48" customWidth="1"/>
    <col min="14713" max="14713" width="14.5703125" style="48" customWidth="1"/>
    <col min="14714" max="14947" width="11.42578125" style="48"/>
    <col min="14948" max="14948" width="4" style="48" customWidth="1"/>
    <col min="14949" max="14949" width="24.7109375" style="48" customWidth="1"/>
    <col min="14950" max="14950" width="0.85546875" style="48" customWidth="1"/>
    <col min="14951" max="14951" width="10.7109375" style="48" customWidth="1"/>
    <col min="14952" max="14952" width="0.85546875" style="48" customWidth="1"/>
    <col min="14953" max="14953" width="16.85546875" style="48" customWidth="1"/>
    <col min="14954" max="14954" width="21.28515625" style="48" customWidth="1"/>
    <col min="14955" max="14955" width="0.85546875" style="48" customWidth="1"/>
    <col min="14956" max="14957" width="14.7109375" style="48" customWidth="1"/>
    <col min="14958" max="14958" width="0.85546875" style="48" customWidth="1"/>
    <col min="14959" max="14960" width="14.7109375" style="48" customWidth="1"/>
    <col min="14961" max="14961" width="0.85546875" style="48" customWidth="1"/>
    <col min="14962" max="14962" width="14.7109375" style="48" customWidth="1"/>
    <col min="14963" max="14963" width="0.85546875" style="48" customWidth="1"/>
    <col min="14964" max="14968" width="6.7109375" style="48" customWidth="1"/>
    <col min="14969" max="14969" width="14.5703125" style="48" customWidth="1"/>
    <col min="14970" max="15203" width="11.42578125" style="48"/>
    <col min="15204" max="15204" width="4" style="48" customWidth="1"/>
    <col min="15205" max="15205" width="24.7109375" style="48" customWidth="1"/>
    <col min="15206" max="15206" width="0.85546875" style="48" customWidth="1"/>
    <col min="15207" max="15207" width="10.7109375" style="48" customWidth="1"/>
    <col min="15208" max="15208" width="0.85546875" style="48" customWidth="1"/>
    <col min="15209" max="15209" width="16.85546875" style="48" customWidth="1"/>
    <col min="15210" max="15210" width="21.28515625" style="48" customWidth="1"/>
    <col min="15211" max="15211" width="0.85546875" style="48" customWidth="1"/>
    <col min="15212" max="15213" width="14.7109375" style="48" customWidth="1"/>
    <col min="15214" max="15214" width="0.85546875" style="48" customWidth="1"/>
    <col min="15215" max="15216" width="14.7109375" style="48" customWidth="1"/>
    <col min="15217" max="15217" width="0.85546875" style="48" customWidth="1"/>
    <col min="15218" max="15218" width="14.7109375" style="48" customWidth="1"/>
    <col min="15219" max="15219" width="0.85546875" style="48" customWidth="1"/>
    <col min="15220" max="15224" width="6.7109375" style="48" customWidth="1"/>
    <col min="15225" max="15225" width="14.5703125" style="48" customWidth="1"/>
    <col min="15226" max="15459" width="11.42578125" style="48"/>
    <col min="15460" max="15460" width="4" style="48" customWidth="1"/>
    <col min="15461" max="15461" width="24.7109375" style="48" customWidth="1"/>
    <col min="15462" max="15462" width="0.85546875" style="48" customWidth="1"/>
    <col min="15463" max="15463" width="10.7109375" style="48" customWidth="1"/>
    <col min="15464" max="15464" width="0.85546875" style="48" customWidth="1"/>
    <col min="15465" max="15465" width="16.85546875" style="48" customWidth="1"/>
    <col min="15466" max="15466" width="21.28515625" style="48" customWidth="1"/>
    <col min="15467" max="15467" width="0.85546875" style="48" customWidth="1"/>
    <col min="15468" max="15469" width="14.7109375" style="48" customWidth="1"/>
    <col min="15470" max="15470" width="0.85546875" style="48" customWidth="1"/>
    <col min="15471" max="15472" width="14.7109375" style="48" customWidth="1"/>
    <col min="15473" max="15473" width="0.85546875" style="48" customWidth="1"/>
    <col min="15474" max="15474" width="14.7109375" style="48" customWidth="1"/>
    <col min="15475" max="15475" width="0.85546875" style="48" customWidth="1"/>
    <col min="15476" max="15480" width="6.7109375" style="48" customWidth="1"/>
    <col min="15481" max="15481" width="14.5703125" style="48" customWidth="1"/>
    <col min="15482" max="15715" width="11.42578125" style="48"/>
    <col min="15716" max="15716" width="4" style="48" customWidth="1"/>
    <col min="15717" max="15717" width="24.7109375" style="48" customWidth="1"/>
    <col min="15718" max="15718" width="0.85546875" style="48" customWidth="1"/>
    <col min="15719" max="15719" width="10.7109375" style="48" customWidth="1"/>
    <col min="15720" max="15720" width="0.85546875" style="48" customWidth="1"/>
    <col min="15721" max="15721" width="16.85546875" style="48" customWidth="1"/>
    <col min="15722" max="15722" width="21.28515625" style="48" customWidth="1"/>
    <col min="15723" max="15723" width="0.85546875" style="48" customWidth="1"/>
    <col min="15724" max="15725" width="14.7109375" style="48" customWidth="1"/>
    <col min="15726" max="15726" width="0.85546875" style="48" customWidth="1"/>
    <col min="15727" max="15728" width="14.7109375" style="48" customWidth="1"/>
    <col min="15729" max="15729" width="0.85546875" style="48" customWidth="1"/>
    <col min="15730" max="15730" width="14.7109375" style="48" customWidth="1"/>
    <col min="15731" max="15731" width="0.85546875" style="48" customWidth="1"/>
    <col min="15732" max="15736" width="6.7109375" style="48" customWidth="1"/>
    <col min="15737" max="15737" width="14.5703125" style="48" customWidth="1"/>
    <col min="15738" max="15971" width="11.42578125" style="48"/>
    <col min="15972" max="15972" width="4" style="48" customWidth="1"/>
    <col min="15973" max="15973" width="24.7109375" style="48" customWidth="1"/>
    <col min="15974" max="15974" width="0.85546875" style="48" customWidth="1"/>
    <col min="15975" max="15975" width="10.7109375" style="48" customWidth="1"/>
    <col min="15976" max="15976" width="0.85546875" style="48" customWidth="1"/>
    <col min="15977" max="15977" width="16.85546875" style="48" customWidth="1"/>
    <col min="15978" max="15978" width="21.28515625" style="48" customWidth="1"/>
    <col min="15979" max="15979" width="0.85546875" style="48" customWidth="1"/>
    <col min="15980" max="15981" width="14.7109375" style="48" customWidth="1"/>
    <col min="15982" max="15982" width="0.85546875" style="48" customWidth="1"/>
    <col min="15983" max="15984" width="14.7109375" style="48" customWidth="1"/>
    <col min="15985" max="15985" width="0.85546875" style="48" customWidth="1"/>
    <col min="15986" max="15986" width="14.7109375" style="48" customWidth="1"/>
    <col min="15987" max="15987" width="0.85546875" style="48" customWidth="1"/>
    <col min="15988" max="15992" width="6.7109375" style="48" customWidth="1"/>
    <col min="15993" max="15993" width="14.5703125" style="48" customWidth="1"/>
    <col min="15994" max="16384" width="11.42578125" style="48"/>
  </cols>
  <sheetData>
    <row r="1" spans="2:21" ht="24.95" customHeight="1" x14ac:dyDescent="0.25"/>
    <row r="2" spans="2:21" ht="24.95" customHeight="1" x14ac:dyDescent="0.25">
      <c r="B2" s="832" t="s">
        <v>63</v>
      </c>
      <c r="C2" s="832"/>
      <c r="D2" s="832"/>
      <c r="E2" s="832"/>
      <c r="F2" s="832"/>
      <c r="G2" s="832"/>
      <c r="H2" s="832"/>
      <c r="I2" s="832"/>
      <c r="J2" s="832"/>
      <c r="K2" s="832"/>
      <c r="L2" s="832"/>
      <c r="M2" s="832"/>
      <c r="N2" s="832"/>
      <c r="O2" s="832"/>
      <c r="P2" s="832"/>
      <c r="Q2" s="832"/>
      <c r="R2" s="832"/>
      <c r="S2" s="832"/>
      <c r="T2" s="832"/>
      <c r="U2" s="832"/>
    </row>
    <row r="3" spans="2:21" ht="24.95" customHeight="1" x14ac:dyDescent="0.25">
      <c r="B3" s="551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spans="2:21" s="49" customFormat="1" ht="24.95" customHeight="1" x14ac:dyDescent="0.25">
      <c r="B4" s="6"/>
      <c r="C4" s="412"/>
      <c r="F4" s="820" t="s">
        <v>170</v>
      </c>
      <c r="G4" s="821"/>
      <c r="H4" s="431"/>
      <c r="I4" s="822" t="str">
        <f>Production!I4</f>
        <v>Décembre 2025</v>
      </c>
      <c r="J4" s="823"/>
      <c r="K4" s="255"/>
      <c r="L4" s="824" t="str">
        <f>Production!L4</f>
        <v>Cumul à fin Décembre 2025</v>
      </c>
      <c r="M4" s="825"/>
      <c r="N4" s="8"/>
      <c r="O4" s="9" t="s">
        <v>0</v>
      </c>
      <c r="P4" s="7"/>
      <c r="Q4" s="829" t="s">
        <v>1</v>
      </c>
      <c r="R4" s="830"/>
      <c r="S4" s="830"/>
      <c r="T4" s="830"/>
      <c r="U4" s="831"/>
    </row>
    <row r="5" spans="2:21" s="49" customFormat="1" ht="30" customHeight="1" x14ac:dyDescent="0.25">
      <c r="B5" s="1"/>
      <c r="D5" s="50"/>
      <c r="F5" s="613" t="str">
        <f>Production!F5</f>
        <v>Décembre</v>
      </c>
      <c r="G5" s="613" t="str">
        <f>Production!G5</f>
        <v>Cumul à fin décembre</v>
      </c>
      <c r="H5" s="614"/>
      <c r="I5" s="11" t="s">
        <v>2</v>
      </c>
      <c r="J5" s="11" t="s">
        <v>3</v>
      </c>
      <c r="K5" s="255"/>
      <c r="L5" s="11" t="s">
        <v>2</v>
      </c>
      <c r="M5" s="11" t="s">
        <v>3</v>
      </c>
      <c r="N5" s="12"/>
      <c r="O5" s="13">
        <v>2025</v>
      </c>
      <c r="P5" s="7"/>
      <c r="Q5" s="829" t="s">
        <v>3</v>
      </c>
      <c r="R5" s="830"/>
      <c r="S5" s="831"/>
      <c r="T5" s="829" t="s">
        <v>4</v>
      </c>
      <c r="U5" s="831"/>
    </row>
    <row r="6" spans="2:21" s="14" customFormat="1" ht="24.95" customHeight="1" x14ac:dyDescent="0.25">
      <c r="B6" s="840"/>
      <c r="C6" s="840"/>
      <c r="D6" s="840"/>
      <c r="F6" s="53" t="s">
        <v>6</v>
      </c>
      <c r="G6" s="53" t="s">
        <v>7</v>
      </c>
      <c r="H6" s="54"/>
      <c r="I6" s="53" t="s">
        <v>8</v>
      </c>
      <c r="J6" s="53" t="s">
        <v>9</v>
      </c>
      <c r="K6" s="48"/>
      <c r="L6" s="53" t="s">
        <v>10</v>
      </c>
      <c r="M6" s="53" t="s">
        <v>11</v>
      </c>
      <c r="N6" s="55"/>
      <c r="O6" s="53" t="s">
        <v>12</v>
      </c>
      <c r="P6" s="49"/>
      <c r="Q6" s="56" t="s">
        <v>13</v>
      </c>
      <c r="R6" s="56" t="s">
        <v>14</v>
      </c>
      <c r="S6" s="56" t="s">
        <v>15</v>
      </c>
      <c r="T6" s="18" t="s">
        <v>158</v>
      </c>
      <c r="U6" s="18" t="s">
        <v>159</v>
      </c>
    </row>
    <row r="7" spans="2:21" s="58" customFormat="1" ht="24.95" customHeight="1" x14ac:dyDescent="0.25">
      <c r="B7" s="57" t="s">
        <v>25</v>
      </c>
      <c r="D7" s="837" t="s">
        <v>26</v>
      </c>
      <c r="E7" s="59"/>
      <c r="F7" s="240"/>
      <c r="G7" s="240"/>
      <c r="H7" s="243"/>
      <c r="I7" s="240"/>
      <c r="J7" s="240"/>
      <c r="K7" s="243"/>
      <c r="L7" s="240"/>
      <c r="M7" s="240"/>
      <c r="N7" s="70"/>
      <c r="O7" s="22"/>
      <c r="Q7" s="500" t="str">
        <f>IFERROR(J7/I7,"-")</f>
        <v>-</v>
      </c>
      <c r="R7" s="501" t="str">
        <f>IFERROR(M7/L7,"-")</f>
        <v>-</v>
      </c>
      <c r="S7" s="502" t="str">
        <f>IFERROR(M7/O7,"-")</f>
        <v>-</v>
      </c>
      <c r="T7" s="501" t="str">
        <f>IFERROR(J7/F7-1,"-")</f>
        <v>-</v>
      </c>
      <c r="U7" s="502" t="str">
        <f>IFERROR(M7/G7-1,"-")</f>
        <v>-</v>
      </c>
    </row>
    <row r="8" spans="2:21" s="61" customFormat="1" ht="24.95" customHeight="1" x14ac:dyDescent="0.25">
      <c r="B8" s="60" t="s">
        <v>27</v>
      </c>
      <c r="D8" s="838"/>
      <c r="E8" s="62"/>
      <c r="F8" s="137"/>
      <c r="G8" s="245"/>
      <c r="H8" s="535"/>
      <c r="I8" s="137"/>
      <c r="J8" s="245"/>
      <c r="K8" s="535"/>
      <c r="L8" s="137"/>
      <c r="M8" s="245"/>
      <c r="N8" s="29"/>
      <c r="O8" s="29"/>
      <c r="Q8" s="63" t="str">
        <f t="shared" ref="Q8:Q24" si="0">IFERROR(J8/I8,"-")</f>
        <v>-</v>
      </c>
      <c r="R8" s="64" t="str">
        <f t="shared" ref="R8:R20" si="1">IFERROR(M8/L8,"-")</f>
        <v>-</v>
      </c>
      <c r="S8" s="65" t="str">
        <f t="shared" ref="S8:S24" si="2">IFERROR(M8/O8,"-")</f>
        <v>-</v>
      </c>
      <c r="T8" s="64" t="str">
        <f t="shared" ref="T8:T24" si="3">IFERROR(J8/F8-1,"-")</f>
        <v>-</v>
      </c>
      <c r="U8" s="65" t="str">
        <f t="shared" ref="U8:U24" si="4">IFERROR(M8/G8-1,"-")</f>
        <v>-</v>
      </c>
    </row>
    <row r="9" spans="2:21" s="61" customFormat="1" ht="24.95" customHeight="1" x14ac:dyDescent="0.25">
      <c r="B9" s="66" t="s">
        <v>64</v>
      </c>
      <c r="D9" s="839"/>
      <c r="E9" s="62"/>
      <c r="F9" s="239"/>
      <c r="G9" s="246"/>
      <c r="H9" s="535"/>
      <c r="I9" s="239"/>
      <c r="J9" s="246"/>
      <c r="K9" s="535"/>
      <c r="L9" s="239"/>
      <c r="M9" s="246"/>
      <c r="N9" s="29"/>
      <c r="O9" s="33"/>
      <c r="Q9" s="67" t="str">
        <f t="shared" si="0"/>
        <v>-</v>
      </c>
      <c r="R9" s="68" t="str">
        <f t="shared" si="1"/>
        <v>-</v>
      </c>
      <c r="S9" s="69" t="str">
        <f t="shared" si="2"/>
        <v>-</v>
      </c>
      <c r="T9" s="68" t="str">
        <f t="shared" si="3"/>
        <v>-</v>
      </c>
      <c r="U9" s="69" t="str">
        <f t="shared" si="4"/>
        <v>-</v>
      </c>
    </row>
    <row r="10" spans="2:21" s="58" customFormat="1" ht="24.95" customHeight="1" x14ac:dyDescent="0.25">
      <c r="B10" s="57" t="s">
        <v>28</v>
      </c>
      <c r="D10" s="837" t="s">
        <v>26</v>
      </c>
      <c r="E10" s="59"/>
      <c r="F10" s="240"/>
      <c r="G10" s="240"/>
      <c r="H10" s="243"/>
      <c r="I10" s="240"/>
      <c r="J10" s="240"/>
      <c r="K10" s="243"/>
      <c r="L10" s="240"/>
      <c r="M10" s="240"/>
      <c r="N10" s="70"/>
      <c r="O10" s="22"/>
      <c r="P10" s="59"/>
      <c r="Q10" s="500" t="str">
        <f t="shared" si="0"/>
        <v>-</v>
      </c>
      <c r="R10" s="501" t="str">
        <f t="shared" si="1"/>
        <v>-</v>
      </c>
      <c r="S10" s="502" t="str">
        <f t="shared" si="2"/>
        <v>-</v>
      </c>
      <c r="T10" s="501" t="str">
        <f t="shared" si="3"/>
        <v>-</v>
      </c>
      <c r="U10" s="502" t="str">
        <f t="shared" si="4"/>
        <v>-</v>
      </c>
    </row>
    <row r="11" spans="2:21" s="61" customFormat="1" ht="24.95" customHeight="1" x14ac:dyDescent="0.25">
      <c r="B11" s="60" t="s">
        <v>27</v>
      </c>
      <c r="D11" s="838"/>
      <c r="E11" s="62"/>
      <c r="F11" s="237"/>
      <c r="G11" s="137"/>
      <c r="H11" s="535"/>
      <c r="I11" s="137"/>
      <c r="J11" s="245"/>
      <c r="K11" s="535"/>
      <c r="L11" s="137"/>
      <c r="M11" s="245"/>
      <c r="N11" s="29"/>
      <c r="O11" s="29"/>
      <c r="Q11" s="63" t="str">
        <f t="shared" si="0"/>
        <v>-</v>
      </c>
      <c r="R11" s="64" t="str">
        <f t="shared" si="1"/>
        <v>-</v>
      </c>
      <c r="S11" s="65" t="str">
        <f t="shared" si="2"/>
        <v>-</v>
      </c>
      <c r="T11" s="64" t="str">
        <f t="shared" si="3"/>
        <v>-</v>
      </c>
      <c r="U11" s="65" t="str">
        <f t="shared" si="4"/>
        <v>-</v>
      </c>
    </row>
    <row r="12" spans="2:21" s="61" customFormat="1" ht="24.95" customHeight="1" x14ac:dyDescent="0.25">
      <c r="B12" s="66" t="s">
        <v>64</v>
      </c>
      <c r="D12" s="839"/>
      <c r="E12" s="62"/>
      <c r="F12" s="481"/>
      <c r="G12" s="239"/>
      <c r="H12" s="137"/>
      <c r="I12" s="239"/>
      <c r="J12" s="630"/>
      <c r="K12" s="535"/>
      <c r="L12" s="239"/>
      <c r="M12" s="246"/>
      <c r="N12" s="29"/>
      <c r="O12" s="33"/>
      <c r="Q12" s="67" t="str">
        <f t="shared" si="0"/>
        <v>-</v>
      </c>
      <c r="R12" s="68" t="str">
        <f t="shared" si="1"/>
        <v>-</v>
      </c>
      <c r="S12" s="69" t="str">
        <f t="shared" si="2"/>
        <v>-</v>
      </c>
      <c r="T12" s="545" t="str">
        <f t="shared" si="3"/>
        <v>-</v>
      </c>
      <c r="U12" s="69" t="str">
        <f t="shared" si="4"/>
        <v>-</v>
      </c>
    </row>
    <row r="13" spans="2:21" s="58" customFormat="1" ht="24.95" customHeight="1" x14ac:dyDescent="0.25">
      <c r="B13" s="57" t="s">
        <v>65</v>
      </c>
      <c r="D13" s="78" t="s">
        <v>26</v>
      </c>
      <c r="E13" s="59"/>
      <c r="F13" s="242"/>
      <c r="G13" s="242"/>
      <c r="H13" s="243"/>
      <c r="I13" s="242"/>
      <c r="J13" s="242"/>
      <c r="K13" s="243"/>
      <c r="L13" s="242"/>
      <c r="M13" s="242"/>
      <c r="N13" s="70"/>
      <c r="O13" s="95"/>
      <c r="P13" s="59"/>
      <c r="Q13" s="63" t="str">
        <f t="shared" si="0"/>
        <v>-</v>
      </c>
      <c r="R13" s="64" t="str">
        <f t="shared" si="1"/>
        <v>-</v>
      </c>
      <c r="S13" s="65" t="str">
        <f t="shared" si="2"/>
        <v>-</v>
      </c>
      <c r="T13" s="64" t="str">
        <f t="shared" si="3"/>
        <v>-</v>
      </c>
      <c r="U13" s="65" t="str">
        <f t="shared" si="4"/>
        <v>-</v>
      </c>
    </row>
    <row r="14" spans="2:21" s="58" customFormat="1" ht="24.95" customHeight="1" x14ac:dyDescent="0.25">
      <c r="B14" s="57" t="s">
        <v>182</v>
      </c>
      <c r="D14" s="837" t="s">
        <v>26</v>
      </c>
      <c r="E14" s="59"/>
      <c r="F14" s="240"/>
      <c r="G14" s="240"/>
      <c r="H14" s="243"/>
      <c r="I14" s="240"/>
      <c r="J14" s="240"/>
      <c r="K14" s="243"/>
      <c r="L14" s="240"/>
      <c r="M14" s="240"/>
      <c r="N14" s="70"/>
      <c r="O14" s="22"/>
      <c r="P14" s="38"/>
      <c r="Q14" s="500" t="str">
        <f t="shared" si="0"/>
        <v>-</v>
      </c>
      <c r="R14" s="501" t="str">
        <f t="shared" si="1"/>
        <v>-</v>
      </c>
      <c r="S14" s="502" t="str">
        <f t="shared" si="2"/>
        <v>-</v>
      </c>
      <c r="T14" s="501" t="str">
        <f t="shared" si="3"/>
        <v>-</v>
      </c>
      <c r="U14" s="502" t="str">
        <f t="shared" si="4"/>
        <v>-</v>
      </c>
    </row>
    <row r="15" spans="2:21" s="58" customFormat="1" ht="24.95" customHeight="1" x14ac:dyDescent="0.25">
      <c r="B15" s="60" t="s">
        <v>27</v>
      </c>
      <c r="D15" s="838"/>
      <c r="E15" s="59"/>
      <c r="F15" s="237"/>
      <c r="G15" s="137"/>
      <c r="H15" s="138"/>
      <c r="I15" s="137"/>
      <c r="J15" s="245"/>
      <c r="K15" s="535"/>
      <c r="L15" s="137"/>
      <c r="M15" s="245"/>
      <c r="N15" s="32"/>
      <c r="O15" s="29"/>
      <c r="P15" s="38"/>
      <c r="Q15" s="63" t="str">
        <f t="shared" si="0"/>
        <v>-</v>
      </c>
      <c r="R15" s="64" t="str">
        <f t="shared" si="1"/>
        <v>-</v>
      </c>
      <c r="S15" s="65" t="str">
        <f t="shared" si="2"/>
        <v>-</v>
      </c>
      <c r="T15" s="64" t="str">
        <f t="shared" si="3"/>
        <v>-</v>
      </c>
      <c r="U15" s="652" t="str">
        <f t="shared" si="4"/>
        <v>-</v>
      </c>
    </row>
    <row r="16" spans="2:21" s="58" customFormat="1" ht="24.95" customHeight="1" x14ac:dyDescent="0.25">
      <c r="B16" s="60" t="s">
        <v>64</v>
      </c>
      <c r="D16" s="839"/>
      <c r="E16" s="59"/>
      <c r="F16" s="238"/>
      <c r="G16" s="239"/>
      <c r="H16" s="138"/>
      <c r="I16" s="239"/>
      <c r="J16" s="246"/>
      <c r="K16" s="138"/>
      <c r="L16" s="239"/>
      <c r="M16" s="246"/>
      <c r="N16" s="32"/>
      <c r="O16" s="33"/>
      <c r="Q16" s="67" t="str">
        <f t="shared" si="0"/>
        <v>-</v>
      </c>
      <c r="R16" s="68" t="str">
        <f t="shared" si="1"/>
        <v>-</v>
      </c>
      <c r="S16" s="69" t="str">
        <f t="shared" si="2"/>
        <v>-</v>
      </c>
      <c r="T16" s="68" t="str">
        <f t="shared" si="3"/>
        <v>-</v>
      </c>
      <c r="U16" s="69" t="str">
        <f t="shared" si="4"/>
        <v>-</v>
      </c>
    </row>
    <row r="17" spans="2:21" s="58" customFormat="1" ht="24.95" customHeight="1" x14ac:dyDescent="0.25">
      <c r="B17" s="553" t="s">
        <v>30</v>
      </c>
      <c r="D17" s="868" t="s">
        <v>31</v>
      </c>
      <c r="E17" s="59"/>
      <c r="F17" s="550"/>
      <c r="G17" s="550"/>
      <c r="H17" s="243"/>
      <c r="I17" s="550"/>
      <c r="J17" s="550"/>
      <c r="K17" s="243"/>
      <c r="L17" s="550"/>
      <c r="M17" s="550"/>
      <c r="N17" s="70"/>
      <c r="O17" s="550"/>
      <c r="Q17" s="555" t="str">
        <f t="shared" si="0"/>
        <v>-</v>
      </c>
      <c r="R17" s="540" t="str">
        <f t="shared" si="1"/>
        <v>-</v>
      </c>
      <c r="S17" s="556" t="str">
        <f t="shared" si="2"/>
        <v>-</v>
      </c>
      <c r="T17" s="555" t="str">
        <f t="shared" si="3"/>
        <v>-</v>
      </c>
      <c r="U17" s="556" t="str">
        <f t="shared" si="4"/>
        <v>-</v>
      </c>
    </row>
    <row r="18" spans="2:21" s="58" customFormat="1" ht="24.75" customHeight="1" x14ac:dyDescent="0.25">
      <c r="B18" s="60" t="s">
        <v>27</v>
      </c>
      <c r="D18" s="838"/>
      <c r="E18" s="59"/>
      <c r="F18" s="137"/>
      <c r="G18" s="137"/>
      <c r="H18" s="138"/>
      <c r="I18" s="137"/>
      <c r="J18" s="137"/>
      <c r="K18" s="138"/>
      <c r="L18" s="137"/>
      <c r="M18" s="137"/>
      <c r="N18" s="32"/>
      <c r="O18" s="29"/>
      <c r="Q18" s="63" t="str">
        <f t="shared" si="0"/>
        <v>-</v>
      </c>
      <c r="R18" s="64" t="str">
        <f t="shared" si="1"/>
        <v>-</v>
      </c>
      <c r="S18" s="65" t="str">
        <f t="shared" si="2"/>
        <v>-</v>
      </c>
      <c r="T18" s="63" t="str">
        <f t="shared" si="3"/>
        <v>-</v>
      </c>
      <c r="U18" s="65" t="str">
        <f t="shared" si="4"/>
        <v>-</v>
      </c>
    </row>
    <row r="19" spans="2:21" s="58" customFormat="1" ht="28.5" customHeight="1" x14ac:dyDescent="0.25">
      <c r="B19" s="628" t="s">
        <v>179</v>
      </c>
      <c r="D19" s="838"/>
      <c r="E19" s="59"/>
      <c r="F19" s="511"/>
      <c r="G19" s="511"/>
      <c r="H19" s="138"/>
      <c r="I19" s="137"/>
      <c r="J19" s="511"/>
      <c r="K19" s="138"/>
      <c r="L19" s="137"/>
      <c r="M19" s="511"/>
      <c r="N19" s="32"/>
      <c r="O19" s="33"/>
      <c r="Q19" s="63" t="str">
        <f t="shared" si="0"/>
        <v>-</v>
      </c>
      <c r="R19" s="64" t="str">
        <f>IFERROR(M19/L19,"-")</f>
        <v>-</v>
      </c>
      <c r="S19" s="65" t="str">
        <f t="shared" si="2"/>
        <v>-</v>
      </c>
      <c r="T19" s="63" t="str">
        <f t="shared" si="3"/>
        <v>-</v>
      </c>
      <c r="U19" s="65" t="str">
        <f t="shared" si="4"/>
        <v>-</v>
      </c>
    </row>
    <row r="20" spans="2:21" s="58" customFormat="1" ht="24.95" customHeight="1" x14ac:dyDescent="0.25">
      <c r="B20" s="93" t="s">
        <v>66</v>
      </c>
      <c r="D20" s="126" t="s">
        <v>37</v>
      </c>
      <c r="E20" s="59"/>
      <c r="F20" s="244"/>
      <c r="G20" s="248"/>
      <c r="H20" s="241"/>
      <c r="I20" s="574"/>
      <c r="J20" s="575"/>
      <c r="K20" s="249"/>
      <c r="L20" s="244"/>
      <c r="M20" s="248"/>
      <c r="N20" s="26"/>
      <c r="O20" s="95"/>
      <c r="Q20" s="571" t="str">
        <f t="shared" si="0"/>
        <v>-</v>
      </c>
      <c r="R20" s="572" t="str">
        <f t="shared" si="1"/>
        <v>-</v>
      </c>
      <c r="S20" s="573" t="str">
        <f t="shared" si="2"/>
        <v>-</v>
      </c>
      <c r="T20" s="572" t="str">
        <f t="shared" si="3"/>
        <v>-</v>
      </c>
      <c r="U20" s="573" t="str">
        <f t="shared" si="4"/>
        <v>-</v>
      </c>
    </row>
    <row r="21" spans="2:21" s="59" customFormat="1" ht="6" customHeight="1" x14ac:dyDescent="0.25">
      <c r="B21" s="19"/>
      <c r="F21" s="72"/>
      <c r="G21" s="72"/>
      <c r="H21" s="72"/>
      <c r="I21" s="72"/>
      <c r="J21" s="72"/>
      <c r="K21" s="73"/>
      <c r="L21" s="72"/>
      <c r="M21" s="72"/>
      <c r="N21" s="72"/>
      <c r="O21" s="74"/>
      <c r="P21" s="75"/>
      <c r="Q21" s="504"/>
      <c r="R21" s="504"/>
      <c r="S21" s="504"/>
      <c r="T21" s="504"/>
      <c r="U21" s="504"/>
    </row>
    <row r="22" spans="2:21" s="58" customFormat="1" ht="24.95" customHeight="1" x14ac:dyDescent="0.25">
      <c r="B22" s="57" t="s">
        <v>67</v>
      </c>
      <c r="D22" s="837" t="s">
        <v>33</v>
      </c>
      <c r="E22" s="59"/>
      <c r="F22" s="22"/>
      <c r="G22" s="24"/>
      <c r="H22" s="35"/>
      <c r="I22" s="22"/>
      <c r="J22" s="24"/>
      <c r="K22" s="73"/>
      <c r="L22" s="22"/>
      <c r="M22" s="24"/>
      <c r="N22" s="26"/>
      <c r="O22" s="22"/>
      <c r="P22" s="38"/>
      <c r="Q22" s="500" t="str">
        <f>IFERROR(J22/I22,"-")</f>
        <v>-</v>
      </c>
      <c r="R22" s="540" t="str">
        <f>IFERROR(M22/L22,"-")</f>
        <v>-</v>
      </c>
      <c r="S22" s="502" t="str">
        <f t="shared" si="2"/>
        <v>-</v>
      </c>
      <c r="T22" s="501" t="str">
        <f t="shared" si="3"/>
        <v>-</v>
      </c>
      <c r="U22" s="502" t="str">
        <f t="shared" si="4"/>
        <v>-</v>
      </c>
    </row>
    <row r="23" spans="2:21" s="58" customFormat="1" ht="24.95" customHeight="1" x14ac:dyDescent="0.25">
      <c r="B23" s="60" t="s">
        <v>27</v>
      </c>
      <c r="D23" s="838"/>
      <c r="E23" s="59"/>
      <c r="F23" s="29"/>
      <c r="G23" s="31"/>
      <c r="H23" s="35"/>
      <c r="I23" s="29"/>
      <c r="J23" s="31"/>
      <c r="K23" s="73"/>
      <c r="L23" s="29"/>
      <c r="M23" s="31"/>
      <c r="N23" s="32"/>
      <c r="O23" s="29"/>
      <c r="P23" s="38"/>
      <c r="Q23" s="63" t="str">
        <f t="shared" si="0"/>
        <v>-</v>
      </c>
      <c r="R23" s="64" t="str">
        <f>IFERROR(M23/L23,"-")</f>
        <v>-</v>
      </c>
      <c r="S23" s="65" t="str">
        <f t="shared" si="2"/>
        <v>-</v>
      </c>
      <c r="T23" s="64" t="str">
        <f t="shared" si="3"/>
        <v>-</v>
      </c>
      <c r="U23" s="65" t="str">
        <f t="shared" si="4"/>
        <v>-</v>
      </c>
    </row>
    <row r="24" spans="2:21" s="58" customFormat="1" ht="24.95" customHeight="1" x14ac:dyDescent="0.25">
      <c r="B24" s="66" t="s">
        <v>64</v>
      </c>
      <c r="D24" s="839"/>
      <c r="E24" s="59"/>
      <c r="F24" s="33"/>
      <c r="G24" s="34"/>
      <c r="H24" s="35"/>
      <c r="I24" s="33"/>
      <c r="J24" s="34"/>
      <c r="K24" s="73"/>
      <c r="L24" s="33"/>
      <c r="M24" s="34"/>
      <c r="N24" s="32"/>
      <c r="O24" s="33"/>
      <c r="Q24" s="67" t="str">
        <f t="shared" si="0"/>
        <v>-</v>
      </c>
      <c r="R24" s="68" t="str">
        <f>IFERROR(M24/L24,"-")</f>
        <v>-</v>
      </c>
      <c r="S24" s="69" t="str">
        <f t="shared" si="2"/>
        <v>-</v>
      </c>
      <c r="T24" s="68" t="str">
        <f t="shared" si="3"/>
        <v>-</v>
      </c>
      <c r="U24" s="69" t="str">
        <f t="shared" si="4"/>
        <v>-</v>
      </c>
    </row>
    <row r="25" spans="2:21" s="59" customFormat="1" ht="6" customHeight="1" x14ac:dyDescent="0.25">
      <c r="B25" s="19"/>
      <c r="F25" s="72"/>
      <c r="G25" s="72"/>
      <c r="H25" s="72"/>
      <c r="I25" s="72"/>
      <c r="J25" s="72"/>
      <c r="K25" s="73"/>
      <c r="L25" s="72"/>
      <c r="M25" s="72"/>
      <c r="N25" s="72"/>
      <c r="O25" s="74"/>
      <c r="P25" s="75"/>
      <c r="Q25" s="504"/>
      <c r="R25" s="504"/>
      <c r="S25" s="504"/>
      <c r="T25" s="504"/>
      <c r="U25" s="504"/>
    </row>
    <row r="26" spans="2:21" s="58" customFormat="1" ht="24.95" customHeight="1" x14ac:dyDescent="0.25">
      <c r="B26" s="638" t="s">
        <v>183</v>
      </c>
      <c r="C26" s="2"/>
      <c r="D26" s="865" t="s">
        <v>26</v>
      </c>
      <c r="E26" s="59"/>
      <c r="F26" s="550"/>
      <c r="G26" s="550"/>
      <c r="H26" s="243"/>
      <c r="I26" s="550"/>
      <c r="J26" s="550"/>
      <c r="K26" s="243"/>
      <c r="L26" s="550"/>
      <c r="M26" s="550"/>
      <c r="N26" s="70"/>
      <c r="O26" s="550"/>
      <c r="Q26" s="555" t="str">
        <f>IFERROR(J26/I26,"-")</f>
        <v>-</v>
      </c>
      <c r="R26" s="540" t="str">
        <f t="shared" ref="R26:R28" si="5">IFERROR(M26/L26,"-")</f>
        <v>-</v>
      </c>
      <c r="S26" s="556" t="str">
        <f t="shared" ref="S26:S28" si="6">IFERROR(M26/O26,"-")</f>
        <v>-</v>
      </c>
      <c r="T26" s="555" t="str">
        <f t="shared" ref="T26:T28" si="7">IFERROR(J26/F26-1,"-")</f>
        <v>-</v>
      </c>
      <c r="U26" s="556" t="str">
        <f t="shared" ref="U26:U28" si="8">IFERROR(M26/G26-1,"-")</f>
        <v>-</v>
      </c>
    </row>
    <row r="27" spans="2:21" s="58" customFormat="1" ht="24.95" customHeight="1" x14ac:dyDescent="0.25">
      <c r="B27" s="639" t="s">
        <v>184</v>
      </c>
      <c r="C27" s="2"/>
      <c r="D27" s="866"/>
      <c r="E27" s="617"/>
      <c r="F27" s="137"/>
      <c r="G27" s="137"/>
      <c r="H27" s="138"/>
      <c r="I27" s="137"/>
      <c r="J27" s="137"/>
      <c r="K27" s="138"/>
      <c r="L27" s="137"/>
      <c r="M27" s="137"/>
      <c r="N27" s="32"/>
      <c r="O27" s="29"/>
      <c r="P27" s="619"/>
      <c r="Q27" s="63" t="str">
        <f t="shared" ref="Q27:Q28" si="9">IFERROR(J27/I27,"-")</f>
        <v>-</v>
      </c>
      <c r="R27" s="64" t="str">
        <f t="shared" si="5"/>
        <v>-</v>
      </c>
      <c r="S27" s="65" t="str">
        <f t="shared" si="6"/>
        <v>-</v>
      </c>
      <c r="T27" s="653" t="str">
        <f t="shared" si="7"/>
        <v>-</v>
      </c>
      <c r="U27" s="65" t="str">
        <f t="shared" si="8"/>
        <v>-</v>
      </c>
    </row>
    <row r="28" spans="2:21" s="58" customFormat="1" ht="24.95" customHeight="1" x14ac:dyDescent="0.25">
      <c r="B28" s="640" t="s">
        <v>185</v>
      </c>
      <c r="C28" s="2"/>
      <c r="D28" s="867"/>
      <c r="E28" s="617"/>
      <c r="F28" s="33"/>
      <c r="G28" s="34"/>
      <c r="H28" s="138"/>
      <c r="I28" s="33"/>
      <c r="J28" s="246"/>
      <c r="K28" s="138"/>
      <c r="L28" s="33"/>
      <c r="M28" s="246"/>
      <c r="N28" s="32"/>
      <c r="O28" s="33"/>
      <c r="P28" s="618"/>
      <c r="Q28" s="67" t="str">
        <f t="shared" si="9"/>
        <v>-</v>
      </c>
      <c r="R28" s="68" t="str">
        <f t="shared" si="5"/>
        <v>-</v>
      </c>
      <c r="S28" s="69" t="str">
        <f t="shared" si="6"/>
        <v>-</v>
      </c>
      <c r="T28" s="67" t="str">
        <f t="shared" si="7"/>
        <v>-</v>
      </c>
      <c r="U28" s="69" t="str">
        <f t="shared" si="8"/>
        <v>-</v>
      </c>
    </row>
    <row r="29" spans="2:21" s="58" customFormat="1" ht="24.95" customHeight="1" x14ac:dyDescent="0.25">
      <c r="B29" s="76"/>
      <c r="D29" s="59"/>
      <c r="E29" s="617"/>
      <c r="F29" s="618"/>
      <c r="G29" s="618"/>
      <c r="H29" s="618"/>
      <c r="I29" s="618"/>
      <c r="L29" s="618"/>
      <c r="M29" s="618"/>
      <c r="N29" s="618"/>
      <c r="O29" s="618"/>
      <c r="P29" s="618"/>
      <c r="Q29" s="618"/>
      <c r="R29" s="618"/>
      <c r="S29" s="618"/>
      <c r="T29" s="619"/>
      <c r="U29" s="619"/>
    </row>
    <row r="30" spans="2:21" s="58" customFormat="1" ht="24.95" customHeight="1" x14ac:dyDescent="0.25">
      <c r="B30" s="76"/>
      <c r="D30" s="59"/>
      <c r="E30" s="617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618"/>
      <c r="Q30" s="618"/>
      <c r="R30" s="619"/>
      <c r="S30" s="619"/>
      <c r="T30" s="619"/>
      <c r="U30" s="619"/>
    </row>
    <row r="31" spans="2:21" s="58" customFormat="1" ht="24.95" customHeight="1" x14ac:dyDescent="0.25">
      <c r="B31" s="76"/>
      <c r="D31" s="59"/>
      <c r="E31" s="617"/>
      <c r="F31" s="618"/>
      <c r="G31" s="618"/>
      <c r="H31" s="618"/>
      <c r="J31" s="618"/>
      <c r="K31" s="618"/>
      <c r="M31" s="618"/>
      <c r="N31" s="618"/>
      <c r="O31" s="618"/>
      <c r="P31" s="618"/>
      <c r="Q31" s="620"/>
      <c r="R31" s="646"/>
      <c r="S31" s="619"/>
      <c r="T31" s="619"/>
      <c r="U31" s="619"/>
    </row>
    <row r="32" spans="2:21" ht="24.95" customHeight="1" x14ac:dyDescent="0.25">
      <c r="E32" s="621"/>
      <c r="F32" s="618"/>
      <c r="G32" s="618"/>
      <c r="H32" s="618"/>
      <c r="I32" s="618"/>
      <c r="J32" s="618"/>
      <c r="K32" s="618"/>
      <c r="L32" s="618"/>
      <c r="M32" s="618"/>
      <c r="N32" s="618"/>
      <c r="O32" s="618"/>
      <c r="P32" s="618"/>
      <c r="Q32" s="620"/>
      <c r="R32" s="622"/>
      <c r="S32" s="622"/>
      <c r="T32" s="622"/>
      <c r="U32" s="622"/>
    </row>
    <row r="33" spans="5:21" ht="24.95" customHeight="1" x14ac:dyDescent="0.25">
      <c r="E33" s="621"/>
      <c r="F33" s="620"/>
      <c r="G33" s="620"/>
      <c r="H33" s="620"/>
      <c r="I33" s="618"/>
      <c r="J33" s="620"/>
      <c r="K33" s="620"/>
      <c r="L33" s="618"/>
      <c r="M33" s="620"/>
      <c r="N33" s="620"/>
      <c r="O33" s="620"/>
      <c r="P33" s="620"/>
      <c r="Q33" s="620"/>
      <c r="R33" s="622"/>
      <c r="S33" s="622"/>
      <c r="T33" s="622"/>
      <c r="U33" s="622"/>
    </row>
    <row r="34" spans="5:21" ht="24.95" customHeight="1" x14ac:dyDescent="0.25">
      <c r="E34" s="621"/>
      <c r="F34" s="621"/>
      <c r="G34" s="622"/>
      <c r="H34" s="622"/>
      <c r="I34" s="622"/>
      <c r="J34" s="622"/>
      <c r="K34" s="622"/>
      <c r="L34" s="629"/>
      <c r="M34" s="622"/>
      <c r="N34" s="622"/>
      <c r="O34" s="622"/>
      <c r="P34" s="622"/>
      <c r="Q34" s="622"/>
      <c r="R34" s="622"/>
      <c r="S34" s="622"/>
      <c r="T34" s="622"/>
      <c r="U34" s="622"/>
    </row>
    <row r="35" spans="5:21" ht="24.95" customHeight="1" x14ac:dyDescent="0.25">
      <c r="E35" s="621"/>
      <c r="F35" s="621"/>
      <c r="G35" s="622"/>
      <c r="H35" s="622"/>
      <c r="I35" s="622"/>
      <c r="J35" s="622"/>
      <c r="K35" s="622"/>
      <c r="L35" s="622"/>
      <c r="M35" s="622"/>
      <c r="N35" s="622"/>
      <c r="O35" s="622"/>
      <c r="P35" s="622"/>
      <c r="Q35" s="622"/>
      <c r="R35" s="622"/>
      <c r="S35" s="622"/>
      <c r="T35" s="622"/>
      <c r="U35" s="622"/>
    </row>
    <row r="36" spans="5:21" ht="24.95" customHeight="1" x14ac:dyDescent="0.25">
      <c r="E36" s="621"/>
      <c r="F36" s="621"/>
      <c r="G36" s="622"/>
      <c r="H36" s="622"/>
      <c r="I36" s="622"/>
      <c r="J36" s="622"/>
      <c r="K36" s="622"/>
      <c r="L36" s="622"/>
      <c r="M36" s="622"/>
      <c r="N36" s="622"/>
      <c r="O36" s="622"/>
      <c r="P36" s="622"/>
      <c r="Q36" s="622"/>
      <c r="R36" s="622"/>
      <c r="S36" s="622"/>
      <c r="T36" s="622"/>
      <c r="U36" s="622"/>
    </row>
    <row r="37" spans="5:21" ht="24.95" customHeight="1" x14ac:dyDescent="0.25">
      <c r="E37" s="621"/>
      <c r="F37" s="621"/>
      <c r="G37" s="622"/>
      <c r="H37" s="622"/>
      <c r="I37" s="622"/>
      <c r="J37" s="622"/>
      <c r="K37" s="622"/>
      <c r="L37" s="622"/>
      <c r="M37" s="622"/>
      <c r="N37" s="622"/>
      <c r="O37" s="622"/>
      <c r="P37" s="622"/>
      <c r="Q37" s="622"/>
      <c r="R37" s="622"/>
      <c r="S37" s="622"/>
      <c r="T37" s="622"/>
      <c r="U37" s="622"/>
    </row>
    <row r="38" spans="5:21" ht="24.95" customHeight="1" x14ac:dyDescent="0.25">
      <c r="E38" s="621"/>
      <c r="F38" s="621"/>
      <c r="G38" s="622"/>
      <c r="H38" s="622"/>
      <c r="I38" s="622"/>
      <c r="J38" s="622"/>
      <c r="K38" s="622"/>
      <c r="L38" s="622"/>
      <c r="M38" s="622"/>
      <c r="N38" s="622"/>
      <c r="O38" s="622"/>
      <c r="P38" s="622"/>
      <c r="Q38" s="622"/>
      <c r="R38" s="622"/>
      <c r="S38" s="622"/>
      <c r="T38" s="622"/>
      <c r="U38" s="622"/>
    </row>
    <row r="39" spans="5:21" ht="24.95" customHeight="1" x14ac:dyDescent="0.25">
      <c r="E39" s="621"/>
      <c r="F39" s="621"/>
      <c r="G39" s="622"/>
      <c r="H39" s="622"/>
      <c r="I39" s="622"/>
      <c r="J39" s="622"/>
      <c r="K39" s="622"/>
      <c r="L39" s="622"/>
      <c r="M39" s="622"/>
      <c r="N39" s="622"/>
      <c r="O39" s="622"/>
      <c r="P39" s="622"/>
      <c r="Q39" s="622"/>
      <c r="R39" s="622"/>
      <c r="S39" s="622"/>
      <c r="T39" s="622"/>
      <c r="U39" s="622"/>
    </row>
    <row r="40" spans="5:21" ht="24.95" customHeight="1" x14ac:dyDescent="0.25">
      <c r="E40" s="621"/>
      <c r="F40" s="621"/>
      <c r="G40" s="622"/>
      <c r="H40" s="622"/>
      <c r="I40" s="622"/>
      <c r="J40" s="622"/>
      <c r="K40" s="622"/>
      <c r="L40" s="622"/>
      <c r="M40" s="622"/>
      <c r="N40" s="622"/>
      <c r="O40" s="622"/>
      <c r="P40" s="622"/>
      <c r="Q40" s="622"/>
      <c r="R40" s="622"/>
      <c r="S40" s="622"/>
      <c r="T40" s="622"/>
      <c r="U40" s="622"/>
    </row>
    <row r="41" spans="5:21" ht="24.95" customHeight="1" x14ac:dyDescent="0.25">
      <c r="E41" s="621"/>
      <c r="F41" s="621"/>
      <c r="G41" s="622"/>
      <c r="H41" s="622"/>
      <c r="I41" s="622"/>
      <c r="J41" s="622"/>
      <c r="K41" s="622"/>
      <c r="L41" s="622"/>
      <c r="M41" s="622"/>
      <c r="N41" s="622"/>
      <c r="O41" s="622"/>
      <c r="P41" s="622"/>
      <c r="Q41" s="622"/>
      <c r="R41" s="622"/>
      <c r="S41" s="622"/>
      <c r="T41" s="622"/>
      <c r="U41" s="622"/>
    </row>
    <row r="42" spans="5:21" ht="24.95" customHeight="1" x14ac:dyDescent="0.25">
      <c r="E42" s="621"/>
      <c r="F42" s="623"/>
      <c r="G42" s="623"/>
      <c r="H42" s="623"/>
      <c r="I42" s="623"/>
      <c r="J42" s="623"/>
      <c r="K42" s="623"/>
      <c r="L42" s="623"/>
      <c r="M42" s="623"/>
      <c r="N42" s="623"/>
      <c r="O42" s="623"/>
      <c r="P42" s="623"/>
      <c r="Q42" s="622"/>
      <c r="R42" s="622"/>
      <c r="S42" s="622"/>
      <c r="T42" s="622"/>
      <c r="U42" s="622"/>
    </row>
    <row r="43" spans="5:21" ht="24.95" customHeight="1" x14ac:dyDescent="0.25">
      <c r="E43" s="621"/>
      <c r="F43" s="623"/>
      <c r="G43" s="623"/>
      <c r="H43" s="623"/>
      <c r="I43" s="623"/>
      <c r="J43" s="623"/>
      <c r="K43" s="623"/>
      <c r="L43" s="623"/>
      <c r="M43" s="623"/>
      <c r="N43" s="623"/>
      <c r="O43" s="623"/>
      <c r="P43" s="623"/>
      <c r="Q43" s="622"/>
      <c r="R43" s="622"/>
      <c r="S43" s="622"/>
      <c r="T43" s="622"/>
      <c r="U43" s="622"/>
    </row>
    <row r="44" spans="5:21" ht="24.95" customHeight="1" x14ac:dyDescent="0.25">
      <c r="F44" s="512"/>
      <c r="G44" s="512"/>
      <c r="H44" s="512"/>
      <c r="I44" s="512"/>
      <c r="J44" s="512"/>
      <c r="K44" s="512"/>
      <c r="L44" s="512"/>
      <c r="M44" s="512"/>
      <c r="N44" s="512"/>
      <c r="O44" s="512"/>
      <c r="P44" s="512"/>
    </row>
    <row r="45" spans="5:21" ht="24.95" customHeight="1" x14ac:dyDescent="0.25">
      <c r="F45" s="512"/>
      <c r="G45" s="512"/>
      <c r="H45" s="512"/>
      <c r="I45" s="512"/>
      <c r="J45" s="512"/>
      <c r="K45" s="512"/>
      <c r="L45" s="512"/>
      <c r="M45" s="512"/>
      <c r="N45" s="512"/>
      <c r="O45" s="512"/>
      <c r="P45" s="512"/>
    </row>
    <row r="46" spans="5:21" ht="24.95" customHeight="1" x14ac:dyDescent="0.25">
      <c r="F46" s="512"/>
      <c r="G46" s="512"/>
      <c r="H46" s="512"/>
      <c r="I46" s="512"/>
      <c r="J46" s="512"/>
      <c r="K46" s="512"/>
      <c r="L46" s="512"/>
      <c r="M46" s="512"/>
      <c r="N46" s="512"/>
      <c r="O46" s="512"/>
      <c r="P46" s="512"/>
    </row>
    <row r="47" spans="5:21" ht="24.95" customHeight="1" x14ac:dyDescent="0.25">
      <c r="F47" s="512"/>
      <c r="G47" s="512"/>
      <c r="H47" s="512"/>
      <c r="I47" s="512"/>
      <c r="J47" s="512"/>
      <c r="K47" s="512"/>
      <c r="L47" s="512"/>
      <c r="M47" s="512"/>
      <c r="N47" s="512"/>
      <c r="O47" s="512"/>
      <c r="P47" s="512"/>
    </row>
    <row r="48" spans="5:21" ht="24.95" customHeight="1" x14ac:dyDescent="0.25">
      <c r="F48" s="512"/>
      <c r="G48" s="512"/>
      <c r="H48" s="512"/>
      <c r="I48" s="512"/>
      <c r="J48" s="512"/>
      <c r="K48" s="512"/>
      <c r="L48" s="512"/>
      <c r="M48" s="512"/>
      <c r="N48" s="512"/>
      <c r="O48" s="512"/>
      <c r="P48" s="512"/>
    </row>
    <row r="49" spans="6:16" ht="24.95" customHeight="1" x14ac:dyDescent="0.25">
      <c r="F49" s="512"/>
      <c r="G49" s="512"/>
      <c r="H49" s="512"/>
      <c r="I49" s="512"/>
      <c r="J49" s="512"/>
      <c r="K49" s="512"/>
      <c r="L49" s="512"/>
      <c r="M49" s="512"/>
      <c r="N49" s="512"/>
      <c r="O49" s="512"/>
      <c r="P49" s="512"/>
    </row>
    <row r="50" spans="6:16" ht="24.95" customHeight="1" x14ac:dyDescent="0.25">
      <c r="F50" s="512"/>
      <c r="G50" s="512"/>
      <c r="H50" s="512"/>
      <c r="I50" s="512"/>
      <c r="J50" s="512"/>
      <c r="K50" s="512"/>
      <c r="L50" s="512"/>
      <c r="M50" s="512"/>
      <c r="N50" s="512"/>
      <c r="O50" s="512"/>
      <c r="P50" s="512"/>
    </row>
    <row r="51" spans="6:16" ht="24.95" customHeight="1" x14ac:dyDescent="0.25">
      <c r="F51" s="512"/>
      <c r="G51" s="512"/>
      <c r="H51" s="512"/>
      <c r="I51" s="512"/>
      <c r="J51" s="512"/>
      <c r="K51" s="512"/>
      <c r="L51" s="512"/>
      <c r="M51" s="512"/>
      <c r="N51" s="512"/>
      <c r="O51" s="512"/>
      <c r="P51" s="512"/>
    </row>
    <row r="52" spans="6:16" ht="24.95" customHeight="1" x14ac:dyDescent="0.25">
      <c r="F52" s="512"/>
      <c r="G52" s="512"/>
      <c r="H52" s="512"/>
      <c r="I52" s="512"/>
      <c r="J52" s="512"/>
      <c r="K52" s="512"/>
      <c r="L52" s="512"/>
      <c r="M52" s="512"/>
      <c r="N52" s="512"/>
      <c r="O52" s="512"/>
      <c r="P52" s="512"/>
    </row>
    <row r="53" spans="6:16" ht="24.95" customHeight="1" x14ac:dyDescent="0.25">
      <c r="F53" s="512"/>
      <c r="G53" s="512"/>
      <c r="H53" s="512"/>
      <c r="I53" s="512"/>
      <c r="J53" s="512"/>
      <c r="K53" s="512"/>
      <c r="L53" s="512"/>
      <c r="M53" s="512"/>
      <c r="N53" s="512"/>
      <c r="O53" s="512"/>
      <c r="P53" s="512"/>
    </row>
    <row r="54" spans="6:16" ht="24.95" customHeight="1" x14ac:dyDescent="0.25">
      <c r="F54" s="512"/>
      <c r="G54" s="512"/>
      <c r="H54" s="512"/>
      <c r="I54" s="512"/>
      <c r="J54" s="512"/>
      <c r="K54" s="512"/>
      <c r="L54" s="512"/>
      <c r="M54" s="512"/>
      <c r="N54" s="512"/>
      <c r="O54" s="512"/>
      <c r="P54" s="512"/>
    </row>
    <row r="55" spans="6:16" ht="24.95" customHeight="1" x14ac:dyDescent="0.25">
      <c r="F55" s="512"/>
      <c r="G55" s="512"/>
      <c r="H55" s="512"/>
      <c r="I55" s="512"/>
      <c r="J55" s="512"/>
      <c r="K55" s="512"/>
      <c r="L55" s="512"/>
      <c r="M55" s="512"/>
      <c r="N55" s="512"/>
      <c r="O55" s="512"/>
      <c r="P55" s="512"/>
    </row>
    <row r="56" spans="6:16" ht="24.95" customHeight="1" x14ac:dyDescent="0.25">
      <c r="F56" s="512"/>
      <c r="G56" s="512"/>
      <c r="H56" s="512"/>
      <c r="I56" s="512"/>
      <c r="J56" s="512"/>
      <c r="K56" s="512"/>
      <c r="L56" s="512"/>
      <c r="M56" s="512"/>
      <c r="N56" s="512"/>
      <c r="O56" s="512"/>
      <c r="P56" s="512"/>
    </row>
    <row r="57" spans="6:16" ht="24.95" customHeight="1" x14ac:dyDescent="0.25">
      <c r="F57" s="512"/>
      <c r="G57" s="512"/>
      <c r="H57" s="512"/>
      <c r="I57" s="512"/>
      <c r="J57" s="512"/>
      <c r="K57" s="512"/>
      <c r="L57" s="512"/>
      <c r="M57" s="512"/>
      <c r="N57" s="512"/>
      <c r="O57" s="512"/>
      <c r="P57" s="512"/>
    </row>
    <row r="58" spans="6:16" x14ac:dyDescent="0.25">
      <c r="F58" s="512"/>
      <c r="G58" s="512"/>
      <c r="H58" s="512"/>
      <c r="I58" s="512"/>
      <c r="J58" s="512"/>
      <c r="K58" s="512"/>
      <c r="L58" s="512"/>
      <c r="M58" s="512"/>
      <c r="N58" s="512"/>
      <c r="O58" s="512"/>
      <c r="P58" s="512"/>
    </row>
    <row r="59" spans="6:16" x14ac:dyDescent="0.25">
      <c r="F59" s="512"/>
      <c r="G59" s="512"/>
      <c r="H59" s="512"/>
      <c r="I59" s="512"/>
      <c r="J59" s="512"/>
      <c r="K59" s="512"/>
      <c r="L59" s="512"/>
      <c r="M59" s="512"/>
      <c r="N59" s="512"/>
      <c r="O59" s="512"/>
      <c r="P59" s="512"/>
    </row>
    <row r="60" spans="6:16" x14ac:dyDescent="0.25">
      <c r="F60" s="512"/>
      <c r="G60" s="512"/>
      <c r="H60" s="512"/>
      <c r="I60" s="512"/>
      <c r="J60" s="512"/>
      <c r="K60" s="512"/>
      <c r="L60" s="512"/>
      <c r="M60" s="512"/>
      <c r="N60" s="512"/>
      <c r="O60" s="512"/>
    </row>
    <row r="61" spans="6:16" x14ac:dyDescent="0.25">
      <c r="F61" s="512"/>
      <c r="G61" s="512"/>
      <c r="H61" s="512"/>
      <c r="I61" s="512"/>
      <c r="J61" s="512"/>
      <c r="K61" s="512"/>
      <c r="L61" s="512"/>
      <c r="M61" s="512"/>
      <c r="N61" s="512"/>
      <c r="O61" s="512"/>
    </row>
    <row r="62" spans="6:16" x14ac:dyDescent="0.25">
      <c r="F62" s="512"/>
      <c r="G62" s="512"/>
      <c r="H62" s="512"/>
      <c r="I62" s="512"/>
      <c r="J62" s="512"/>
      <c r="K62" s="512"/>
      <c r="L62" s="512"/>
      <c r="M62" s="512"/>
      <c r="N62" s="512"/>
      <c r="O62" s="512"/>
    </row>
    <row r="63" spans="6:16" x14ac:dyDescent="0.25">
      <c r="F63" s="512"/>
      <c r="G63" s="512"/>
      <c r="H63" s="512"/>
      <c r="I63" s="512"/>
      <c r="J63" s="512"/>
      <c r="K63" s="512"/>
      <c r="L63" s="512"/>
      <c r="M63" s="512"/>
      <c r="N63" s="512"/>
      <c r="O63" s="512"/>
    </row>
  </sheetData>
  <mergeCells count="14">
    <mergeCell ref="D26:D28"/>
    <mergeCell ref="D22:D24"/>
    <mergeCell ref="B2:U2"/>
    <mergeCell ref="F4:G4"/>
    <mergeCell ref="I4:J4"/>
    <mergeCell ref="L4:M4"/>
    <mergeCell ref="Q4:U4"/>
    <mergeCell ref="Q5:S5"/>
    <mergeCell ref="T5:U5"/>
    <mergeCell ref="B6:D6"/>
    <mergeCell ref="D7:D9"/>
    <mergeCell ref="D10:D12"/>
    <mergeCell ref="D14:D16"/>
    <mergeCell ref="D17:D19"/>
  </mergeCell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71" orientation="landscape" r:id="rId1"/>
  <headerFooter>
    <oddFooter>&amp;LDCP SPE&amp;R8</oddFooter>
  </headerFooter>
  <customProperties>
    <customPr name="EpmWorksheetKeyString_GUID" r:id="rId2"/>
  </customProperties>
  <ignoredErrors>
    <ignoredError sqref="F6:J6 L6:O6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K72"/>
  <sheetViews>
    <sheetView showGridLines="0" view="pageBreakPreview" zoomScale="85" zoomScaleNormal="80" zoomScaleSheetLayoutView="85" workbookViewId="0">
      <selection activeCell="D7" sqref="D7:H33"/>
    </sheetView>
  </sheetViews>
  <sheetFormatPr baseColWidth="10" defaultColWidth="11.42578125" defaultRowHeight="12.75" x14ac:dyDescent="0.25"/>
  <cols>
    <col min="1" max="1" width="4" style="266" customWidth="1"/>
    <col min="2" max="2" width="52.28515625" style="320" customWidth="1"/>
    <col min="3" max="3" width="0.85546875" style="266" customWidth="1"/>
    <col min="4" max="4" width="15.7109375" style="321" customWidth="1"/>
    <col min="5" max="5" width="15.7109375" style="266" customWidth="1"/>
    <col min="6" max="6" width="0.85546875" style="266" customWidth="1"/>
    <col min="7" max="8" width="15.7109375" style="266" customWidth="1"/>
    <col min="9" max="9" width="0.85546875" style="266" customWidth="1"/>
    <col min="10" max="11" width="10.7109375" style="266" customWidth="1"/>
    <col min="12" max="175" width="11.42578125" style="266"/>
    <col min="176" max="176" width="4" style="266" customWidth="1"/>
    <col min="177" max="177" width="24.7109375" style="266" customWidth="1"/>
    <col min="178" max="178" width="0.85546875" style="266" customWidth="1"/>
    <col min="179" max="180" width="22.7109375" style="266" customWidth="1"/>
    <col min="181" max="181" width="0.85546875" style="266" customWidth="1"/>
    <col min="182" max="183" width="22.7109375" style="266" customWidth="1"/>
    <col min="184" max="184" width="0.85546875" style="266" customWidth="1"/>
    <col min="185" max="187" width="10.7109375" style="266" customWidth="1"/>
    <col min="188" max="188" width="16.140625" style="266" customWidth="1"/>
    <col min="189" max="431" width="11.42578125" style="266"/>
    <col min="432" max="432" width="4" style="266" customWidth="1"/>
    <col min="433" max="433" width="24.7109375" style="266" customWidth="1"/>
    <col min="434" max="434" width="0.85546875" style="266" customWidth="1"/>
    <col min="435" max="436" width="22.7109375" style="266" customWidth="1"/>
    <col min="437" max="437" width="0.85546875" style="266" customWidth="1"/>
    <col min="438" max="439" width="22.7109375" style="266" customWidth="1"/>
    <col min="440" max="440" width="0.85546875" style="266" customWidth="1"/>
    <col min="441" max="443" width="10.7109375" style="266" customWidth="1"/>
    <col min="444" max="444" width="16.140625" style="266" customWidth="1"/>
    <col min="445" max="687" width="11.42578125" style="266"/>
    <col min="688" max="688" width="4" style="266" customWidth="1"/>
    <col min="689" max="689" width="24.7109375" style="266" customWidth="1"/>
    <col min="690" max="690" width="0.85546875" style="266" customWidth="1"/>
    <col min="691" max="692" width="22.7109375" style="266" customWidth="1"/>
    <col min="693" max="693" width="0.85546875" style="266" customWidth="1"/>
    <col min="694" max="695" width="22.7109375" style="266" customWidth="1"/>
    <col min="696" max="696" width="0.85546875" style="266" customWidth="1"/>
    <col min="697" max="699" width="10.7109375" style="266" customWidth="1"/>
    <col min="700" max="700" width="16.140625" style="266" customWidth="1"/>
    <col min="701" max="943" width="11.42578125" style="266"/>
    <col min="944" max="944" width="4" style="266" customWidth="1"/>
    <col min="945" max="945" width="24.7109375" style="266" customWidth="1"/>
    <col min="946" max="946" width="0.85546875" style="266" customWidth="1"/>
    <col min="947" max="948" width="22.7109375" style="266" customWidth="1"/>
    <col min="949" max="949" width="0.85546875" style="266" customWidth="1"/>
    <col min="950" max="951" width="22.7109375" style="266" customWidth="1"/>
    <col min="952" max="952" width="0.85546875" style="266" customWidth="1"/>
    <col min="953" max="955" width="10.7109375" style="266" customWidth="1"/>
    <col min="956" max="956" width="16.140625" style="266" customWidth="1"/>
    <col min="957" max="1199" width="11.42578125" style="266"/>
    <col min="1200" max="1200" width="4" style="266" customWidth="1"/>
    <col min="1201" max="1201" width="24.7109375" style="266" customWidth="1"/>
    <col min="1202" max="1202" width="0.85546875" style="266" customWidth="1"/>
    <col min="1203" max="1204" width="22.7109375" style="266" customWidth="1"/>
    <col min="1205" max="1205" width="0.85546875" style="266" customWidth="1"/>
    <col min="1206" max="1207" width="22.7109375" style="266" customWidth="1"/>
    <col min="1208" max="1208" width="0.85546875" style="266" customWidth="1"/>
    <col min="1209" max="1211" width="10.7109375" style="266" customWidth="1"/>
    <col min="1212" max="1212" width="16.140625" style="266" customWidth="1"/>
    <col min="1213" max="1455" width="11.42578125" style="266"/>
    <col min="1456" max="1456" width="4" style="266" customWidth="1"/>
    <col min="1457" max="1457" width="24.7109375" style="266" customWidth="1"/>
    <col min="1458" max="1458" width="0.85546875" style="266" customWidth="1"/>
    <col min="1459" max="1460" width="22.7109375" style="266" customWidth="1"/>
    <col min="1461" max="1461" width="0.85546875" style="266" customWidth="1"/>
    <col min="1462" max="1463" width="22.7109375" style="266" customWidth="1"/>
    <col min="1464" max="1464" width="0.85546875" style="266" customWidth="1"/>
    <col min="1465" max="1467" width="10.7109375" style="266" customWidth="1"/>
    <col min="1468" max="1468" width="16.140625" style="266" customWidth="1"/>
    <col min="1469" max="1711" width="11.42578125" style="266"/>
    <col min="1712" max="1712" width="4" style="266" customWidth="1"/>
    <col min="1713" max="1713" width="24.7109375" style="266" customWidth="1"/>
    <col min="1714" max="1714" width="0.85546875" style="266" customWidth="1"/>
    <col min="1715" max="1716" width="22.7109375" style="266" customWidth="1"/>
    <col min="1717" max="1717" width="0.85546875" style="266" customWidth="1"/>
    <col min="1718" max="1719" width="22.7109375" style="266" customWidth="1"/>
    <col min="1720" max="1720" width="0.85546875" style="266" customWidth="1"/>
    <col min="1721" max="1723" width="10.7109375" style="266" customWidth="1"/>
    <col min="1724" max="1724" width="16.140625" style="266" customWidth="1"/>
    <col min="1725" max="1967" width="11.42578125" style="266"/>
    <col min="1968" max="1968" width="4" style="266" customWidth="1"/>
    <col min="1969" max="1969" width="24.7109375" style="266" customWidth="1"/>
    <col min="1970" max="1970" width="0.85546875" style="266" customWidth="1"/>
    <col min="1971" max="1972" width="22.7109375" style="266" customWidth="1"/>
    <col min="1973" max="1973" width="0.85546875" style="266" customWidth="1"/>
    <col min="1974" max="1975" width="22.7109375" style="266" customWidth="1"/>
    <col min="1976" max="1976" width="0.85546875" style="266" customWidth="1"/>
    <col min="1977" max="1979" width="10.7109375" style="266" customWidth="1"/>
    <col min="1980" max="1980" width="16.140625" style="266" customWidth="1"/>
    <col min="1981" max="2223" width="11.42578125" style="266"/>
    <col min="2224" max="2224" width="4" style="266" customWidth="1"/>
    <col min="2225" max="2225" width="24.7109375" style="266" customWidth="1"/>
    <col min="2226" max="2226" width="0.85546875" style="266" customWidth="1"/>
    <col min="2227" max="2228" width="22.7109375" style="266" customWidth="1"/>
    <col min="2229" max="2229" width="0.85546875" style="266" customWidth="1"/>
    <col min="2230" max="2231" width="22.7109375" style="266" customWidth="1"/>
    <col min="2232" max="2232" width="0.85546875" style="266" customWidth="1"/>
    <col min="2233" max="2235" width="10.7109375" style="266" customWidth="1"/>
    <col min="2236" max="2236" width="16.140625" style="266" customWidth="1"/>
    <col min="2237" max="2479" width="11.42578125" style="266"/>
    <col min="2480" max="2480" width="4" style="266" customWidth="1"/>
    <col min="2481" max="2481" width="24.7109375" style="266" customWidth="1"/>
    <col min="2482" max="2482" width="0.85546875" style="266" customWidth="1"/>
    <col min="2483" max="2484" width="22.7109375" style="266" customWidth="1"/>
    <col min="2485" max="2485" width="0.85546875" style="266" customWidth="1"/>
    <col min="2486" max="2487" width="22.7109375" style="266" customWidth="1"/>
    <col min="2488" max="2488" width="0.85546875" style="266" customWidth="1"/>
    <col min="2489" max="2491" width="10.7109375" style="266" customWidth="1"/>
    <col min="2492" max="2492" width="16.140625" style="266" customWidth="1"/>
    <col min="2493" max="2735" width="11.42578125" style="266"/>
    <col min="2736" max="2736" width="4" style="266" customWidth="1"/>
    <col min="2737" max="2737" width="24.7109375" style="266" customWidth="1"/>
    <col min="2738" max="2738" width="0.85546875" style="266" customWidth="1"/>
    <col min="2739" max="2740" width="22.7109375" style="266" customWidth="1"/>
    <col min="2741" max="2741" width="0.85546875" style="266" customWidth="1"/>
    <col min="2742" max="2743" width="22.7109375" style="266" customWidth="1"/>
    <col min="2744" max="2744" width="0.85546875" style="266" customWidth="1"/>
    <col min="2745" max="2747" width="10.7109375" style="266" customWidth="1"/>
    <col min="2748" max="2748" width="16.140625" style="266" customWidth="1"/>
    <col min="2749" max="2991" width="11.42578125" style="266"/>
    <col min="2992" max="2992" width="4" style="266" customWidth="1"/>
    <col min="2993" max="2993" width="24.7109375" style="266" customWidth="1"/>
    <col min="2994" max="2994" width="0.85546875" style="266" customWidth="1"/>
    <col min="2995" max="2996" width="22.7109375" style="266" customWidth="1"/>
    <col min="2997" max="2997" width="0.85546875" style="266" customWidth="1"/>
    <col min="2998" max="2999" width="22.7109375" style="266" customWidth="1"/>
    <col min="3000" max="3000" width="0.85546875" style="266" customWidth="1"/>
    <col min="3001" max="3003" width="10.7109375" style="266" customWidth="1"/>
    <col min="3004" max="3004" width="16.140625" style="266" customWidth="1"/>
    <col min="3005" max="3247" width="11.42578125" style="266"/>
    <col min="3248" max="3248" width="4" style="266" customWidth="1"/>
    <col min="3249" max="3249" width="24.7109375" style="266" customWidth="1"/>
    <col min="3250" max="3250" width="0.85546875" style="266" customWidth="1"/>
    <col min="3251" max="3252" width="22.7109375" style="266" customWidth="1"/>
    <col min="3253" max="3253" width="0.85546875" style="266" customWidth="1"/>
    <col min="3254" max="3255" width="22.7109375" style="266" customWidth="1"/>
    <col min="3256" max="3256" width="0.85546875" style="266" customWidth="1"/>
    <col min="3257" max="3259" width="10.7109375" style="266" customWidth="1"/>
    <col min="3260" max="3260" width="16.140625" style="266" customWidth="1"/>
    <col min="3261" max="3503" width="11.42578125" style="266"/>
    <col min="3504" max="3504" width="4" style="266" customWidth="1"/>
    <col min="3505" max="3505" width="24.7109375" style="266" customWidth="1"/>
    <col min="3506" max="3506" width="0.85546875" style="266" customWidth="1"/>
    <col min="3507" max="3508" width="22.7109375" style="266" customWidth="1"/>
    <col min="3509" max="3509" width="0.85546875" style="266" customWidth="1"/>
    <col min="3510" max="3511" width="22.7109375" style="266" customWidth="1"/>
    <col min="3512" max="3512" width="0.85546875" style="266" customWidth="1"/>
    <col min="3513" max="3515" width="10.7109375" style="266" customWidth="1"/>
    <col min="3516" max="3516" width="16.140625" style="266" customWidth="1"/>
    <col min="3517" max="3759" width="11.42578125" style="266"/>
    <col min="3760" max="3760" width="4" style="266" customWidth="1"/>
    <col min="3761" max="3761" width="24.7109375" style="266" customWidth="1"/>
    <col min="3762" max="3762" width="0.85546875" style="266" customWidth="1"/>
    <col min="3763" max="3764" width="22.7109375" style="266" customWidth="1"/>
    <col min="3765" max="3765" width="0.85546875" style="266" customWidth="1"/>
    <col min="3766" max="3767" width="22.7109375" style="266" customWidth="1"/>
    <col min="3768" max="3768" width="0.85546875" style="266" customWidth="1"/>
    <col min="3769" max="3771" width="10.7109375" style="266" customWidth="1"/>
    <col min="3772" max="3772" width="16.140625" style="266" customWidth="1"/>
    <col min="3773" max="4015" width="11.42578125" style="266"/>
    <col min="4016" max="4016" width="4" style="266" customWidth="1"/>
    <col min="4017" max="4017" width="24.7109375" style="266" customWidth="1"/>
    <col min="4018" max="4018" width="0.85546875" style="266" customWidth="1"/>
    <col min="4019" max="4020" width="22.7109375" style="266" customWidth="1"/>
    <col min="4021" max="4021" width="0.85546875" style="266" customWidth="1"/>
    <col min="4022" max="4023" width="22.7109375" style="266" customWidth="1"/>
    <col min="4024" max="4024" width="0.85546875" style="266" customWidth="1"/>
    <col min="4025" max="4027" width="10.7109375" style="266" customWidth="1"/>
    <col min="4028" max="4028" width="16.140625" style="266" customWidth="1"/>
    <col min="4029" max="4271" width="11.42578125" style="266"/>
    <col min="4272" max="4272" width="4" style="266" customWidth="1"/>
    <col min="4273" max="4273" width="24.7109375" style="266" customWidth="1"/>
    <col min="4274" max="4274" width="0.85546875" style="266" customWidth="1"/>
    <col min="4275" max="4276" width="22.7109375" style="266" customWidth="1"/>
    <col min="4277" max="4277" width="0.85546875" style="266" customWidth="1"/>
    <col min="4278" max="4279" width="22.7109375" style="266" customWidth="1"/>
    <col min="4280" max="4280" width="0.85546875" style="266" customWidth="1"/>
    <col min="4281" max="4283" width="10.7109375" style="266" customWidth="1"/>
    <col min="4284" max="4284" width="16.140625" style="266" customWidth="1"/>
    <col min="4285" max="4527" width="11.42578125" style="266"/>
    <col min="4528" max="4528" width="4" style="266" customWidth="1"/>
    <col min="4529" max="4529" width="24.7109375" style="266" customWidth="1"/>
    <col min="4530" max="4530" width="0.85546875" style="266" customWidth="1"/>
    <col min="4531" max="4532" width="22.7109375" style="266" customWidth="1"/>
    <col min="4533" max="4533" width="0.85546875" style="266" customWidth="1"/>
    <col min="4534" max="4535" width="22.7109375" style="266" customWidth="1"/>
    <col min="4536" max="4536" width="0.85546875" style="266" customWidth="1"/>
    <col min="4537" max="4539" width="10.7109375" style="266" customWidth="1"/>
    <col min="4540" max="4540" width="16.140625" style="266" customWidth="1"/>
    <col min="4541" max="4783" width="11.42578125" style="266"/>
    <col min="4784" max="4784" width="4" style="266" customWidth="1"/>
    <col min="4785" max="4785" width="24.7109375" style="266" customWidth="1"/>
    <col min="4786" max="4786" width="0.85546875" style="266" customWidth="1"/>
    <col min="4787" max="4788" width="22.7109375" style="266" customWidth="1"/>
    <col min="4789" max="4789" width="0.85546875" style="266" customWidth="1"/>
    <col min="4790" max="4791" width="22.7109375" style="266" customWidth="1"/>
    <col min="4792" max="4792" width="0.85546875" style="266" customWidth="1"/>
    <col min="4793" max="4795" width="10.7109375" style="266" customWidth="1"/>
    <col min="4796" max="4796" width="16.140625" style="266" customWidth="1"/>
    <col min="4797" max="5039" width="11.42578125" style="266"/>
    <col min="5040" max="5040" width="4" style="266" customWidth="1"/>
    <col min="5041" max="5041" width="24.7109375" style="266" customWidth="1"/>
    <col min="5042" max="5042" width="0.85546875" style="266" customWidth="1"/>
    <col min="5043" max="5044" width="22.7109375" style="266" customWidth="1"/>
    <col min="5045" max="5045" width="0.85546875" style="266" customWidth="1"/>
    <col min="5046" max="5047" width="22.7109375" style="266" customWidth="1"/>
    <col min="5048" max="5048" width="0.85546875" style="266" customWidth="1"/>
    <col min="5049" max="5051" width="10.7109375" style="266" customWidth="1"/>
    <col min="5052" max="5052" width="16.140625" style="266" customWidth="1"/>
    <col min="5053" max="5295" width="11.42578125" style="266"/>
    <col min="5296" max="5296" width="4" style="266" customWidth="1"/>
    <col min="5297" max="5297" width="24.7109375" style="266" customWidth="1"/>
    <col min="5298" max="5298" width="0.85546875" style="266" customWidth="1"/>
    <col min="5299" max="5300" width="22.7109375" style="266" customWidth="1"/>
    <col min="5301" max="5301" width="0.85546875" style="266" customWidth="1"/>
    <col min="5302" max="5303" width="22.7109375" style="266" customWidth="1"/>
    <col min="5304" max="5304" width="0.85546875" style="266" customWidth="1"/>
    <col min="5305" max="5307" width="10.7109375" style="266" customWidth="1"/>
    <col min="5308" max="5308" width="16.140625" style="266" customWidth="1"/>
    <col min="5309" max="5551" width="11.42578125" style="266"/>
    <col min="5552" max="5552" width="4" style="266" customWidth="1"/>
    <col min="5553" max="5553" width="24.7109375" style="266" customWidth="1"/>
    <col min="5554" max="5554" width="0.85546875" style="266" customWidth="1"/>
    <col min="5555" max="5556" width="22.7109375" style="266" customWidth="1"/>
    <col min="5557" max="5557" width="0.85546875" style="266" customWidth="1"/>
    <col min="5558" max="5559" width="22.7109375" style="266" customWidth="1"/>
    <col min="5560" max="5560" width="0.85546875" style="266" customWidth="1"/>
    <col min="5561" max="5563" width="10.7109375" style="266" customWidth="1"/>
    <col min="5564" max="5564" width="16.140625" style="266" customWidth="1"/>
    <col min="5565" max="5807" width="11.42578125" style="266"/>
    <col min="5808" max="5808" width="4" style="266" customWidth="1"/>
    <col min="5809" max="5809" width="24.7109375" style="266" customWidth="1"/>
    <col min="5810" max="5810" width="0.85546875" style="266" customWidth="1"/>
    <col min="5811" max="5812" width="22.7109375" style="266" customWidth="1"/>
    <col min="5813" max="5813" width="0.85546875" style="266" customWidth="1"/>
    <col min="5814" max="5815" width="22.7109375" style="266" customWidth="1"/>
    <col min="5816" max="5816" width="0.85546875" style="266" customWidth="1"/>
    <col min="5817" max="5819" width="10.7109375" style="266" customWidth="1"/>
    <col min="5820" max="5820" width="16.140625" style="266" customWidth="1"/>
    <col min="5821" max="6063" width="11.42578125" style="266"/>
    <col min="6064" max="6064" width="4" style="266" customWidth="1"/>
    <col min="6065" max="6065" width="24.7109375" style="266" customWidth="1"/>
    <col min="6066" max="6066" width="0.85546875" style="266" customWidth="1"/>
    <col min="6067" max="6068" width="22.7109375" style="266" customWidth="1"/>
    <col min="6069" max="6069" width="0.85546875" style="266" customWidth="1"/>
    <col min="6070" max="6071" width="22.7109375" style="266" customWidth="1"/>
    <col min="6072" max="6072" width="0.85546875" style="266" customWidth="1"/>
    <col min="6073" max="6075" width="10.7109375" style="266" customWidth="1"/>
    <col min="6076" max="6076" width="16.140625" style="266" customWidth="1"/>
    <col min="6077" max="6319" width="11.42578125" style="266"/>
    <col min="6320" max="6320" width="4" style="266" customWidth="1"/>
    <col min="6321" max="6321" width="24.7109375" style="266" customWidth="1"/>
    <col min="6322" max="6322" width="0.85546875" style="266" customWidth="1"/>
    <col min="6323" max="6324" width="22.7109375" style="266" customWidth="1"/>
    <col min="6325" max="6325" width="0.85546875" style="266" customWidth="1"/>
    <col min="6326" max="6327" width="22.7109375" style="266" customWidth="1"/>
    <col min="6328" max="6328" width="0.85546875" style="266" customWidth="1"/>
    <col min="6329" max="6331" width="10.7109375" style="266" customWidth="1"/>
    <col min="6332" max="6332" width="16.140625" style="266" customWidth="1"/>
    <col min="6333" max="6575" width="11.42578125" style="266"/>
    <col min="6576" max="6576" width="4" style="266" customWidth="1"/>
    <col min="6577" max="6577" width="24.7109375" style="266" customWidth="1"/>
    <col min="6578" max="6578" width="0.85546875" style="266" customWidth="1"/>
    <col min="6579" max="6580" width="22.7109375" style="266" customWidth="1"/>
    <col min="6581" max="6581" width="0.85546875" style="266" customWidth="1"/>
    <col min="6582" max="6583" width="22.7109375" style="266" customWidth="1"/>
    <col min="6584" max="6584" width="0.85546875" style="266" customWidth="1"/>
    <col min="6585" max="6587" width="10.7109375" style="266" customWidth="1"/>
    <col min="6588" max="6588" width="16.140625" style="266" customWidth="1"/>
    <col min="6589" max="6831" width="11.42578125" style="266"/>
    <col min="6832" max="6832" width="4" style="266" customWidth="1"/>
    <col min="6833" max="6833" width="24.7109375" style="266" customWidth="1"/>
    <col min="6834" max="6834" width="0.85546875" style="266" customWidth="1"/>
    <col min="6835" max="6836" width="22.7109375" style="266" customWidth="1"/>
    <col min="6837" max="6837" width="0.85546875" style="266" customWidth="1"/>
    <col min="6838" max="6839" width="22.7109375" style="266" customWidth="1"/>
    <col min="6840" max="6840" width="0.85546875" style="266" customWidth="1"/>
    <col min="6841" max="6843" width="10.7109375" style="266" customWidth="1"/>
    <col min="6844" max="6844" width="16.140625" style="266" customWidth="1"/>
    <col min="6845" max="7087" width="11.42578125" style="266"/>
    <col min="7088" max="7088" width="4" style="266" customWidth="1"/>
    <col min="7089" max="7089" width="24.7109375" style="266" customWidth="1"/>
    <col min="7090" max="7090" width="0.85546875" style="266" customWidth="1"/>
    <col min="7091" max="7092" width="22.7109375" style="266" customWidth="1"/>
    <col min="7093" max="7093" width="0.85546875" style="266" customWidth="1"/>
    <col min="7094" max="7095" width="22.7109375" style="266" customWidth="1"/>
    <col min="7096" max="7096" width="0.85546875" style="266" customWidth="1"/>
    <col min="7097" max="7099" width="10.7109375" style="266" customWidth="1"/>
    <col min="7100" max="7100" width="16.140625" style="266" customWidth="1"/>
    <col min="7101" max="7343" width="11.42578125" style="266"/>
    <col min="7344" max="7344" width="4" style="266" customWidth="1"/>
    <col min="7345" max="7345" width="24.7109375" style="266" customWidth="1"/>
    <col min="7346" max="7346" width="0.85546875" style="266" customWidth="1"/>
    <col min="7347" max="7348" width="22.7109375" style="266" customWidth="1"/>
    <col min="7349" max="7349" width="0.85546875" style="266" customWidth="1"/>
    <col min="7350" max="7351" width="22.7109375" style="266" customWidth="1"/>
    <col min="7352" max="7352" width="0.85546875" style="266" customWidth="1"/>
    <col min="7353" max="7355" width="10.7109375" style="266" customWidth="1"/>
    <col min="7356" max="7356" width="16.140625" style="266" customWidth="1"/>
    <col min="7357" max="7599" width="11.42578125" style="266"/>
    <col min="7600" max="7600" width="4" style="266" customWidth="1"/>
    <col min="7601" max="7601" width="24.7109375" style="266" customWidth="1"/>
    <col min="7602" max="7602" width="0.85546875" style="266" customWidth="1"/>
    <col min="7603" max="7604" width="22.7109375" style="266" customWidth="1"/>
    <col min="7605" max="7605" width="0.85546875" style="266" customWidth="1"/>
    <col min="7606" max="7607" width="22.7109375" style="266" customWidth="1"/>
    <col min="7608" max="7608" width="0.85546875" style="266" customWidth="1"/>
    <col min="7609" max="7611" width="10.7109375" style="266" customWidth="1"/>
    <col min="7612" max="7612" width="16.140625" style="266" customWidth="1"/>
    <col min="7613" max="7855" width="11.42578125" style="266"/>
    <col min="7856" max="7856" width="4" style="266" customWidth="1"/>
    <col min="7857" max="7857" width="24.7109375" style="266" customWidth="1"/>
    <col min="7858" max="7858" width="0.85546875" style="266" customWidth="1"/>
    <col min="7859" max="7860" width="22.7109375" style="266" customWidth="1"/>
    <col min="7861" max="7861" width="0.85546875" style="266" customWidth="1"/>
    <col min="7862" max="7863" width="22.7109375" style="266" customWidth="1"/>
    <col min="7864" max="7864" width="0.85546875" style="266" customWidth="1"/>
    <col min="7865" max="7867" width="10.7109375" style="266" customWidth="1"/>
    <col min="7868" max="7868" width="16.140625" style="266" customWidth="1"/>
    <col min="7869" max="8111" width="11.42578125" style="266"/>
    <col min="8112" max="8112" width="4" style="266" customWidth="1"/>
    <col min="8113" max="8113" width="24.7109375" style="266" customWidth="1"/>
    <col min="8114" max="8114" width="0.85546875" style="266" customWidth="1"/>
    <col min="8115" max="8116" width="22.7109375" style="266" customWidth="1"/>
    <col min="8117" max="8117" width="0.85546875" style="266" customWidth="1"/>
    <col min="8118" max="8119" width="22.7109375" style="266" customWidth="1"/>
    <col min="8120" max="8120" width="0.85546875" style="266" customWidth="1"/>
    <col min="8121" max="8123" width="10.7109375" style="266" customWidth="1"/>
    <col min="8124" max="8124" width="16.140625" style="266" customWidth="1"/>
    <col min="8125" max="8367" width="11.42578125" style="266"/>
    <col min="8368" max="8368" width="4" style="266" customWidth="1"/>
    <col min="8369" max="8369" width="24.7109375" style="266" customWidth="1"/>
    <col min="8370" max="8370" width="0.85546875" style="266" customWidth="1"/>
    <col min="8371" max="8372" width="22.7109375" style="266" customWidth="1"/>
    <col min="8373" max="8373" width="0.85546875" style="266" customWidth="1"/>
    <col min="8374" max="8375" width="22.7109375" style="266" customWidth="1"/>
    <col min="8376" max="8376" width="0.85546875" style="266" customWidth="1"/>
    <col min="8377" max="8379" width="10.7109375" style="266" customWidth="1"/>
    <col min="8380" max="8380" width="16.140625" style="266" customWidth="1"/>
    <col min="8381" max="8623" width="11.42578125" style="266"/>
    <col min="8624" max="8624" width="4" style="266" customWidth="1"/>
    <col min="8625" max="8625" width="24.7109375" style="266" customWidth="1"/>
    <col min="8626" max="8626" width="0.85546875" style="266" customWidth="1"/>
    <col min="8627" max="8628" width="22.7109375" style="266" customWidth="1"/>
    <col min="8629" max="8629" width="0.85546875" style="266" customWidth="1"/>
    <col min="8630" max="8631" width="22.7109375" style="266" customWidth="1"/>
    <col min="8632" max="8632" width="0.85546875" style="266" customWidth="1"/>
    <col min="8633" max="8635" width="10.7109375" style="266" customWidth="1"/>
    <col min="8636" max="8636" width="16.140625" style="266" customWidth="1"/>
    <col min="8637" max="8879" width="11.42578125" style="266"/>
    <col min="8880" max="8880" width="4" style="266" customWidth="1"/>
    <col min="8881" max="8881" width="24.7109375" style="266" customWidth="1"/>
    <col min="8882" max="8882" width="0.85546875" style="266" customWidth="1"/>
    <col min="8883" max="8884" width="22.7109375" style="266" customWidth="1"/>
    <col min="8885" max="8885" width="0.85546875" style="266" customWidth="1"/>
    <col min="8886" max="8887" width="22.7109375" style="266" customWidth="1"/>
    <col min="8888" max="8888" width="0.85546875" style="266" customWidth="1"/>
    <col min="8889" max="8891" width="10.7109375" style="266" customWidth="1"/>
    <col min="8892" max="8892" width="16.140625" style="266" customWidth="1"/>
    <col min="8893" max="9135" width="11.42578125" style="266"/>
    <col min="9136" max="9136" width="4" style="266" customWidth="1"/>
    <col min="9137" max="9137" width="24.7109375" style="266" customWidth="1"/>
    <col min="9138" max="9138" width="0.85546875" style="266" customWidth="1"/>
    <col min="9139" max="9140" width="22.7109375" style="266" customWidth="1"/>
    <col min="9141" max="9141" width="0.85546875" style="266" customWidth="1"/>
    <col min="9142" max="9143" width="22.7109375" style="266" customWidth="1"/>
    <col min="9144" max="9144" width="0.85546875" style="266" customWidth="1"/>
    <col min="9145" max="9147" width="10.7109375" style="266" customWidth="1"/>
    <col min="9148" max="9148" width="16.140625" style="266" customWidth="1"/>
    <col min="9149" max="9391" width="11.42578125" style="266"/>
    <col min="9392" max="9392" width="4" style="266" customWidth="1"/>
    <col min="9393" max="9393" width="24.7109375" style="266" customWidth="1"/>
    <col min="9394" max="9394" width="0.85546875" style="266" customWidth="1"/>
    <col min="9395" max="9396" width="22.7109375" style="266" customWidth="1"/>
    <col min="9397" max="9397" width="0.85546875" style="266" customWidth="1"/>
    <col min="9398" max="9399" width="22.7109375" style="266" customWidth="1"/>
    <col min="9400" max="9400" width="0.85546875" style="266" customWidth="1"/>
    <col min="9401" max="9403" width="10.7109375" style="266" customWidth="1"/>
    <col min="9404" max="9404" width="16.140625" style="266" customWidth="1"/>
    <col min="9405" max="9647" width="11.42578125" style="266"/>
    <col min="9648" max="9648" width="4" style="266" customWidth="1"/>
    <col min="9649" max="9649" width="24.7109375" style="266" customWidth="1"/>
    <col min="9650" max="9650" width="0.85546875" style="266" customWidth="1"/>
    <col min="9651" max="9652" width="22.7109375" style="266" customWidth="1"/>
    <col min="9653" max="9653" width="0.85546875" style="266" customWidth="1"/>
    <col min="9654" max="9655" width="22.7109375" style="266" customWidth="1"/>
    <col min="9656" max="9656" width="0.85546875" style="266" customWidth="1"/>
    <col min="9657" max="9659" width="10.7109375" style="266" customWidth="1"/>
    <col min="9660" max="9660" width="16.140625" style="266" customWidth="1"/>
    <col min="9661" max="9903" width="11.42578125" style="266"/>
    <col min="9904" max="9904" width="4" style="266" customWidth="1"/>
    <col min="9905" max="9905" width="24.7109375" style="266" customWidth="1"/>
    <col min="9906" max="9906" width="0.85546875" style="266" customWidth="1"/>
    <col min="9907" max="9908" width="22.7109375" style="266" customWidth="1"/>
    <col min="9909" max="9909" width="0.85546875" style="266" customWidth="1"/>
    <col min="9910" max="9911" width="22.7109375" style="266" customWidth="1"/>
    <col min="9912" max="9912" width="0.85546875" style="266" customWidth="1"/>
    <col min="9913" max="9915" width="10.7109375" style="266" customWidth="1"/>
    <col min="9916" max="9916" width="16.140625" style="266" customWidth="1"/>
    <col min="9917" max="10159" width="11.42578125" style="266"/>
    <col min="10160" max="10160" width="4" style="266" customWidth="1"/>
    <col min="10161" max="10161" width="24.7109375" style="266" customWidth="1"/>
    <col min="10162" max="10162" width="0.85546875" style="266" customWidth="1"/>
    <col min="10163" max="10164" width="22.7109375" style="266" customWidth="1"/>
    <col min="10165" max="10165" width="0.85546875" style="266" customWidth="1"/>
    <col min="10166" max="10167" width="22.7109375" style="266" customWidth="1"/>
    <col min="10168" max="10168" width="0.85546875" style="266" customWidth="1"/>
    <col min="10169" max="10171" width="10.7109375" style="266" customWidth="1"/>
    <col min="10172" max="10172" width="16.140625" style="266" customWidth="1"/>
    <col min="10173" max="10415" width="11.42578125" style="266"/>
    <col min="10416" max="10416" width="4" style="266" customWidth="1"/>
    <col min="10417" max="10417" width="24.7109375" style="266" customWidth="1"/>
    <col min="10418" max="10418" width="0.85546875" style="266" customWidth="1"/>
    <col min="10419" max="10420" width="22.7109375" style="266" customWidth="1"/>
    <col min="10421" max="10421" width="0.85546875" style="266" customWidth="1"/>
    <col min="10422" max="10423" width="22.7109375" style="266" customWidth="1"/>
    <col min="10424" max="10424" width="0.85546875" style="266" customWidth="1"/>
    <col min="10425" max="10427" width="10.7109375" style="266" customWidth="1"/>
    <col min="10428" max="10428" width="16.140625" style="266" customWidth="1"/>
    <col min="10429" max="10671" width="11.42578125" style="266"/>
    <col min="10672" max="10672" width="4" style="266" customWidth="1"/>
    <col min="10673" max="10673" width="24.7109375" style="266" customWidth="1"/>
    <col min="10674" max="10674" width="0.85546875" style="266" customWidth="1"/>
    <col min="10675" max="10676" width="22.7109375" style="266" customWidth="1"/>
    <col min="10677" max="10677" width="0.85546875" style="266" customWidth="1"/>
    <col min="10678" max="10679" width="22.7109375" style="266" customWidth="1"/>
    <col min="10680" max="10680" width="0.85546875" style="266" customWidth="1"/>
    <col min="10681" max="10683" width="10.7109375" style="266" customWidth="1"/>
    <col min="10684" max="10684" width="16.140625" style="266" customWidth="1"/>
    <col min="10685" max="10927" width="11.42578125" style="266"/>
    <col min="10928" max="10928" width="4" style="266" customWidth="1"/>
    <col min="10929" max="10929" width="24.7109375" style="266" customWidth="1"/>
    <col min="10930" max="10930" width="0.85546875" style="266" customWidth="1"/>
    <col min="10931" max="10932" width="22.7109375" style="266" customWidth="1"/>
    <col min="10933" max="10933" width="0.85546875" style="266" customWidth="1"/>
    <col min="10934" max="10935" width="22.7109375" style="266" customWidth="1"/>
    <col min="10936" max="10936" width="0.85546875" style="266" customWidth="1"/>
    <col min="10937" max="10939" width="10.7109375" style="266" customWidth="1"/>
    <col min="10940" max="10940" width="16.140625" style="266" customWidth="1"/>
    <col min="10941" max="11183" width="11.42578125" style="266"/>
    <col min="11184" max="11184" width="4" style="266" customWidth="1"/>
    <col min="11185" max="11185" width="24.7109375" style="266" customWidth="1"/>
    <col min="11186" max="11186" width="0.85546875" style="266" customWidth="1"/>
    <col min="11187" max="11188" width="22.7109375" style="266" customWidth="1"/>
    <col min="11189" max="11189" width="0.85546875" style="266" customWidth="1"/>
    <col min="11190" max="11191" width="22.7109375" style="266" customWidth="1"/>
    <col min="11192" max="11192" width="0.85546875" style="266" customWidth="1"/>
    <col min="11193" max="11195" width="10.7109375" style="266" customWidth="1"/>
    <col min="11196" max="11196" width="16.140625" style="266" customWidth="1"/>
    <col min="11197" max="11439" width="11.42578125" style="266"/>
    <col min="11440" max="11440" width="4" style="266" customWidth="1"/>
    <col min="11441" max="11441" width="24.7109375" style="266" customWidth="1"/>
    <col min="11442" max="11442" width="0.85546875" style="266" customWidth="1"/>
    <col min="11443" max="11444" width="22.7109375" style="266" customWidth="1"/>
    <col min="11445" max="11445" width="0.85546875" style="266" customWidth="1"/>
    <col min="11446" max="11447" width="22.7109375" style="266" customWidth="1"/>
    <col min="11448" max="11448" width="0.85546875" style="266" customWidth="1"/>
    <col min="11449" max="11451" width="10.7109375" style="266" customWidth="1"/>
    <col min="11452" max="11452" width="16.140625" style="266" customWidth="1"/>
    <col min="11453" max="11695" width="11.42578125" style="266"/>
    <col min="11696" max="11696" width="4" style="266" customWidth="1"/>
    <col min="11697" max="11697" width="24.7109375" style="266" customWidth="1"/>
    <col min="11698" max="11698" width="0.85546875" style="266" customWidth="1"/>
    <col min="11699" max="11700" width="22.7109375" style="266" customWidth="1"/>
    <col min="11701" max="11701" width="0.85546875" style="266" customWidth="1"/>
    <col min="11702" max="11703" width="22.7109375" style="266" customWidth="1"/>
    <col min="11704" max="11704" width="0.85546875" style="266" customWidth="1"/>
    <col min="11705" max="11707" width="10.7109375" style="266" customWidth="1"/>
    <col min="11708" max="11708" width="16.140625" style="266" customWidth="1"/>
    <col min="11709" max="11951" width="11.42578125" style="266"/>
    <col min="11952" max="11952" width="4" style="266" customWidth="1"/>
    <col min="11953" max="11953" width="24.7109375" style="266" customWidth="1"/>
    <col min="11954" max="11954" width="0.85546875" style="266" customWidth="1"/>
    <col min="11955" max="11956" width="22.7109375" style="266" customWidth="1"/>
    <col min="11957" max="11957" width="0.85546875" style="266" customWidth="1"/>
    <col min="11958" max="11959" width="22.7109375" style="266" customWidth="1"/>
    <col min="11960" max="11960" width="0.85546875" style="266" customWidth="1"/>
    <col min="11961" max="11963" width="10.7109375" style="266" customWidth="1"/>
    <col min="11964" max="11964" width="16.140625" style="266" customWidth="1"/>
    <col min="11965" max="12207" width="11.42578125" style="266"/>
    <col min="12208" max="12208" width="4" style="266" customWidth="1"/>
    <col min="12209" max="12209" width="24.7109375" style="266" customWidth="1"/>
    <col min="12210" max="12210" width="0.85546875" style="266" customWidth="1"/>
    <col min="12211" max="12212" width="22.7109375" style="266" customWidth="1"/>
    <col min="12213" max="12213" width="0.85546875" style="266" customWidth="1"/>
    <col min="12214" max="12215" width="22.7109375" style="266" customWidth="1"/>
    <col min="12216" max="12216" width="0.85546875" style="266" customWidth="1"/>
    <col min="12217" max="12219" width="10.7109375" style="266" customWidth="1"/>
    <col min="12220" max="12220" width="16.140625" style="266" customWidth="1"/>
    <col min="12221" max="12463" width="11.42578125" style="266"/>
    <col min="12464" max="12464" width="4" style="266" customWidth="1"/>
    <col min="12465" max="12465" width="24.7109375" style="266" customWidth="1"/>
    <col min="12466" max="12466" width="0.85546875" style="266" customWidth="1"/>
    <col min="12467" max="12468" width="22.7109375" style="266" customWidth="1"/>
    <col min="12469" max="12469" width="0.85546875" style="266" customWidth="1"/>
    <col min="12470" max="12471" width="22.7109375" style="266" customWidth="1"/>
    <col min="12472" max="12472" width="0.85546875" style="266" customWidth="1"/>
    <col min="12473" max="12475" width="10.7109375" style="266" customWidth="1"/>
    <col min="12476" max="12476" width="16.140625" style="266" customWidth="1"/>
    <col min="12477" max="12719" width="11.42578125" style="266"/>
    <col min="12720" max="12720" width="4" style="266" customWidth="1"/>
    <col min="12721" max="12721" width="24.7109375" style="266" customWidth="1"/>
    <col min="12722" max="12722" width="0.85546875" style="266" customWidth="1"/>
    <col min="12723" max="12724" width="22.7109375" style="266" customWidth="1"/>
    <col min="12725" max="12725" width="0.85546875" style="266" customWidth="1"/>
    <col min="12726" max="12727" width="22.7109375" style="266" customWidth="1"/>
    <col min="12728" max="12728" width="0.85546875" style="266" customWidth="1"/>
    <col min="12729" max="12731" width="10.7109375" style="266" customWidth="1"/>
    <col min="12732" max="12732" width="16.140625" style="266" customWidth="1"/>
    <col min="12733" max="12975" width="11.42578125" style="266"/>
    <col min="12976" max="12976" width="4" style="266" customWidth="1"/>
    <col min="12977" max="12977" width="24.7109375" style="266" customWidth="1"/>
    <col min="12978" max="12978" width="0.85546875" style="266" customWidth="1"/>
    <col min="12979" max="12980" width="22.7109375" style="266" customWidth="1"/>
    <col min="12981" max="12981" width="0.85546875" style="266" customWidth="1"/>
    <col min="12982" max="12983" width="22.7109375" style="266" customWidth="1"/>
    <col min="12984" max="12984" width="0.85546875" style="266" customWidth="1"/>
    <col min="12985" max="12987" width="10.7109375" style="266" customWidth="1"/>
    <col min="12988" max="12988" width="16.140625" style="266" customWidth="1"/>
    <col min="12989" max="13231" width="11.42578125" style="266"/>
    <col min="13232" max="13232" width="4" style="266" customWidth="1"/>
    <col min="13233" max="13233" width="24.7109375" style="266" customWidth="1"/>
    <col min="13234" max="13234" width="0.85546875" style="266" customWidth="1"/>
    <col min="13235" max="13236" width="22.7109375" style="266" customWidth="1"/>
    <col min="13237" max="13237" width="0.85546875" style="266" customWidth="1"/>
    <col min="13238" max="13239" width="22.7109375" style="266" customWidth="1"/>
    <col min="13240" max="13240" width="0.85546875" style="266" customWidth="1"/>
    <col min="13241" max="13243" width="10.7109375" style="266" customWidth="1"/>
    <col min="13244" max="13244" width="16.140625" style="266" customWidth="1"/>
    <col min="13245" max="13487" width="11.42578125" style="266"/>
    <col min="13488" max="13488" width="4" style="266" customWidth="1"/>
    <col min="13489" max="13489" width="24.7109375" style="266" customWidth="1"/>
    <col min="13490" max="13490" width="0.85546875" style="266" customWidth="1"/>
    <col min="13491" max="13492" width="22.7109375" style="266" customWidth="1"/>
    <col min="13493" max="13493" width="0.85546875" style="266" customWidth="1"/>
    <col min="13494" max="13495" width="22.7109375" style="266" customWidth="1"/>
    <col min="13496" max="13496" width="0.85546875" style="266" customWidth="1"/>
    <col min="13497" max="13499" width="10.7109375" style="266" customWidth="1"/>
    <col min="13500" max="13500" width="16.140625" style="266" customWidth="1"/>
    <col min="13501" max="13743" width="11.42578125" style="266"/>
    <col min="13744" max="13744" width="4" style="266" customWidth="1"/>
    <col min="13745" max="13745" width="24.7109375" style="266" customWidth="1"/>
    <col min="13746" max="13746" width="0.85546875" style="266" customWidth="1"/>
    <col min="13747" max="13748" width="22.7109375" style="266" customWidth="1"/>
    <col min="13749" max="13749" width="0.85546875" style="266" customWidth="1"/>
    <col min="13750" max="13751" width="22.7109375" style="266" customWidth="1"/>
    <col min="13752" max="13752" width="0.85546875" style="266" customWidth="1"/>
    <col min="13753" max="13755" width="10.7109375" style="266" customWidth="1"/>
    <col min="13756" max="13756" width="16.140625" style="266" customWidth="1"/>
    <col min="13757" max="13999" width="11.42578125" style="266"/>
    <col min="14000" max="14000" width="4" style="266" customWidth="1"/>
    <col min="14001" max="14001" width="24.7109375" style="266" customWidth="1"/>
    <col min="14002" max="14002" width="0.85546875" style="266" customWidth="1"/>
    <col min="14003" max="14004" width="22.7109375" style="266" customWidth="1"/>
    <col min="14005" max="14005" width="0.85546875" style="266" customWidth="1"/>
    <col min="14006" max="14007" width="22.7109375" style="266" customWidth="1"/>
    <col min="14008" max="14008" width="0.85546875" style="266" customWidth="1"/>
    <col min="14009" max="14011" width="10.7109375" style="266" customWidth="1"/>
    <col min="14012" max="14012" width="16.140625" style="266" customWidth="1"/>
    <col min="14013" max="14255" width="11.42578125" style="266"/>
    <col min="14256" max="14256" width="4" style="266" customWidth="1"/>
    <col min="14257" max="14257" width="24.7109375" style="266" customWidth="1"/>
    <col min="14258" max="14258" width="0.85546875" style="266" customWidth="1"/>
    <col min="14259" max="14260" width="22.7109375" style="266" customWidth="1"/>
    <col min="14261" max="14261" width="0.85546875" style="266" customWidth="1"/>
    <col min="14262" max="14263" width="22.7109375" style="266" customWidth="1"/>
    <col min="14264" max="14264" width="0.85546875" style="266" customWidth="1"/>
    <col min="14265" max="14267" width="10.7109375" style="266" customWidth="1"/>
    <col min="14268" max="14268" width="16.140625" style="266" customWidth="1"/>
    <col min="14269" max="14511" width="11.42578125" style="266"/>
    <col min="14512" max="14512" width="4" style="266" customWidth="1"/>
    <col min="14513" max="14513" width="24.7109375" style="266" customWidth="1"/>
    <col min="14514" max="14514" width="0.85546875" style="266" customWidth="1"/>
    <col min="14515" max="14516" width="22.7109375" style="266" customWidth="1"/>
    <col min="14517" max="14517" width="0.85546875" style="266" customWidth="1"/>
    <col min="14518" max="14519" width="22.7109375" style="266" customWidth="1"/>
    <col min="14520" max="14520" width="0.85546875" style="266" customWidth="1"/>
    <col min="14521" max="14523" width="10.7109375" style="266" customWidth="1"/>
    <col min="14524" max="14524" width="16.140625" style="266" customWidth="1"/>
    <col min="14525" max="14767" width="11.42578125" style="266"/>
    <col min="14768" max="14768" width="4" style="266" customWidth="1"/>
    <col min="14769" max="14769" width="24.7109375" style="266" customWidth="1"/>
    <col min="14770" max="14770" width="0.85546875" style="266" customWidth="1"/>
    <col min="14771" max="14772" width="22.7109375" style="266" customWidth="1"/>
    <col min="14773" max="14773" width="0.85546875" style="266" customWidth="1"/>
    <col min="14774" max="14775" width="22.7109375" style="266" customWidth="1"/>
    <col min="14776" max="14776" width="0.85546875" style="266" customWidth="1"/>
    <col min="14777" max="14779" width="10.7109375" style="266" customWidth="1"/>
    <col min="14780" max="14780" width="16.140625" style="266" customWidth="1"/>
    <col min="14781" max="15023" width="11.42578125" style="266"/>
    <col min="15024" max="15024" width="4" style="266" customWidth="1"/>
    <col min="15025" max="15025" width="24.7109375" style="266" customWidth="1"/>
    <col min="15026" max="15026" width="0.85546875" style="266" customWidth="1"/>
    <col min="15027" max="15028" width="22.7109375" style="266" customWidth="1"/>
    <col min="15029" max="15029" width="0.85546875" style="266" customWidth="1"/>
    <col min="15030" max="15031" width="22.7109375" style="266" customWidth="1"/>
    <col min="15032" max="15032" width="0.85546875" style="266" customWidth="1"/>
    <col min="15033" max="15035" width="10.7109375" style="266" customWidth="1"/>
    <col min="15036" max="15036" width="16.140625" style="266" customWidth="1"/>
    <col min="15037" max="15279" width="11.42578125" style="266"/>
    <col min="15280" max="15280" width="4" style="266" customWidth="1"/>
    <col min="15281" max="15281" width="24.7109375" style="266" customWidth="1"/>
    <col min="15282" max="15282" width="0.85546875" style="266" customWidth="1"/>
    <col min="15283" max="15284" width="22.7109375" style="266" customWidth="1"/>
    <col min="15285" max="15285" width="0.85546875" style="266" customWidth="1"/>
    <col min="15286" max="15287" width="22.7109375" style="266" customWidth="1"/>
    <col min="15288" max="15288" width="0.85546875" style="266" customWidth="1"/>
    <col min="15289" max="15291" width="10.7109375" style="266" customWidth="1"/>
    <col min="15292" max="15292" width="16.140625" style="266" customWidth="1"/>
    <col min="15293" max="15535" width="11.42578125" style="266"/>
    <col min="15536" max="15536" width="4" style="266" customWidth="1"/>
    <col min="15537" max="15537" width="24.7109375" style="266" customWidth="1"/>
    <col min="15538" max="15538" width="0.85546875" style="266" customWidth="1"/>
    <col min="15539" max="15540" width="22.7109375" style="266" customWidth="1"/>
    <col min="15541" max="15541" width="0.85546875" style="266" customWidth="1"/>
    <col min="15542" max="15543" width="22.7109375" style="266" customWidth="1"/>
    <col min="15544" max="15544" width="0.85546875" style="266" customWidth="1"/>
    <col min="15545" max="15547" width="10.7109375" style="266" customWidth="1"/>
    <col min="15548" max="15548" width="16.140625" style="266" customWidth="1"/>
    <col min="15549" max="15791" width="11.42578125" style="266"/>
    <col min="15792" max="15792" width="4" style="266" customWidth="1"/>
    <col min="15793" max="15793" width="24.7109375" style="266" customWidth="1"/>
    <col min="15794" max="15794" width="0.85546875" style="266" customWidth="1"/>
    <col min="15795" max="15796" width="22.7109375" style="266" customWidth="1"/>
    <col min="15797" max="15797" width="0.85546875" style="266" customWidth="1"/>
    <col min="15798" max="15799" width="22.7109375" style="266" customWidth="1"/>
    <col min="15800" max="15800" width="0.85546875" style="266" customWidth="1"/>
    <col min="15801" max="15803" width="10.7109375" style="266" customWidth="1"/>
    <col min="15804" max="15804" width="16.140625" style="266" customWidth="1"/>
    <col min="15805" max="16047" width="11.42578125" style="266"/>
    <col min="16048" max="16048" width="4" style="266" customWidth="1"/>
    <col min="16049" max="16049" width="24.7109375" style="266" customWidth="1"/>
    <col min="16050" max="16050" width="0.85546875" style="266" customWidth="1"/>
    <col min="16051" max="16052" width="22.7109375" style="266" customWidth="1"/>
    <col min="16053" max="16053" width="0.85546875" style="266" customWidth="1"/>
    <col min="16054" max="16055" width="22.7109375" style="266" customWidth="1"/>
    <col min="16056" max="16056" width="0.85546875" style="266" customWidth="1"/>
    <col min="16057" max="16059" width="10.7109375" style="266" customWidth="1"/>
    <col min="16060" max="16060" width="16.140625" style="266" customWidth="1"/>
    <col min="16061" max="16384" width="11.42578125" style="266"/>
  </cols>
  <sheetData>
    <row r="1" spans="2:11" ht="21.95" customHeight="1" x14ac:dyDescent="0.25"/>
    <row r="2" spans="2:11" ht="21.95" customHeight="1" x14ac:dyDescent="0.25">
      <c r="B2" s="871" t="s">
        <v>68</v>
      </c>
      <c r="C2" s="871"/>
      <c r="D2" s="871"/>
      <c r="E2" s="871"/>
      <c r="F2" s="871"/>
      <c r="G2" s="871"/>
      <c r="H2" s="871"/>
      <c r="I2" s="871"/>
      <c r="J2" s="871"/>
      <c r="K2" s="871"/>
    </row>
    <row r="3" spans="2:11" ht="21.95" customHeight="1" x14ac:dyDescent="0.25">
      <c r="B3" s="557"/>
      <c r="C3" s="322"/>
      <c r="D3" s="322"/>
      <c r="E3" s="322"/>
      <c r="F3" s="322"/>
      <c r="G3" s="322"/>
      <c r="H3" s="322"/>
      <c r="I3" s="322"/>
      <c r="J3" s="322"/>
      <c r="K3" s="322"/>
    </row>
    <row r="4" spans="2:11" s="321" customFormat="1" ht="21.95" customHeight="1" x14ac:dyDescent="0.25">
      <c r="B4" s="323"/>
      <c r="C4" s="411"/>
      <c r="D4" s="872" t="s">
        <v>170</v>
      </c>
      <c r="E4" s="873"/>
      <c r="F4" s="265"/>
      <c r="G4" s="872" t="s">
        <v>181</v>
      </c>
      <c r="H4" s="873"/>
      <c r="I4" s="267"/>
      <c r="J4" s="874" t="s">
        <v>69</v>
      </c>
      <c r="K4" s="875"/>
    </row>
    <row r="5" spans="2:11" s="321" customFormat="1" ht="30" customHeight="1" x14ac:dyDescent="0.25">
      <c r="B5" s="320"/>
      <c r="D5" s="257" t="s">
        <v>193</v>
      </c>
      <c r="E5" s="257" t="s">
        <v>194</v>
      </c>
      <c r="F5" s="270"/>
      <c r="G5" s="538" t="str">
        <f>D5</f>
        <v>Décembre</v>
      </c>
      <c r="H5" s="257" t="str">
        <f>E5</f>
        <v>Cumul à fin décembre</v>
      </c>
      <c r="I5" s="271"/>
      <c r="J5" s="876" t="s">
        <v>4</v>
      </c>
      <c r="K5" s="877"/>
    </row>
    <row r="6" spans="2:11" s="328" customFormat="1" ht="21.95" customHeight="1" x14ac:dyDescent="0.25">
      <c r="B6" s="870" t="s">
        <v>70</v>
      </c>
      <c r="C6" s="870"/>
      <c r="D6" s="324" t="s">
        <v>6</v>
      </c>
      <c r="E6" s="324" t="s">
        <v>7</v>
      </c>
      <c r="F6" s="325"/>
      <c r="G6" s="324" t="s">
        <v>8</v>
      </c>
      <c r="H6" s="324" t="s">
        <v>9</v>
      </c>
      <c r="I6" s="326"/>
      <c r="J6" s="327" t="s">
        <v>162</v>
      </c>
      <c r="K6" s="327" t="s">
        <v>163</v>
      </c>
    </row>
    <row r="7" spans="2:11" s="330" customFormat="1" ht="21.95" customHeight="1" x14ac:dyDescent="0.25">
      <c r="B7" s="329" t="s">
        <v>25</v>
      </c>
      <c r="D7" s="331"/>
      <c r="E7" s="331"/>
      <c r="F7" s="536"/>
      <c r="G7" s="331"/>
      <c r="H7" s="331"/>
      <c r="I7" s="332"/>
      <c r="J7" s="505" t="str">
        <f>IFERROR(G7/D7-1,"-")</f>
        <v>-</v>
      </c>
      <c r="K7" s="506" t="str">
        <f>IFERROR(H7/E7-1,"-")</f>
        <v>-</v>
      </c>
    </row>
    <row r="8" spans="2:11" s="334" customFormat="1" ht="21.95" customHeight="1" x14ac:dyDescent="0.25">
      <c r="B8" s="333" t="s">
        <v>27</v>
      </c>
      <c r="D8" s="335"/>
      <c r="E8" s="336"/>
      <c r="F8" s="537"/>
      <c r="G8" s="336"/>
      <c r="H8" s="336"/>
      <c r="I8" s="337"/>
      <c r="J8" s="338" t="str">
        <f t="shared" ref="J8:J25" si="0">IFERROR(G8/D8-1,"-")</f>
        <v>-</v>
      </c>
      <c r="K8" s="339" t="str">
        <f t="shared" ref="K8:K25" si="1">IFERROR(H8/E8-1,"-")</f>
        <v>-</v>
      </c>
    </row>
    <row r="9" spans="2:11" s="334" customFormat="1" ht="21.95" customHeight="1" x14ac:dyDescent="0.25">
      <c r="B9" s="340" t="s">
        <v>64</v>
      </c>
      <c r="D9" s="341"/>
      <c r="E9" s="342"/>
      <c r="F9" s="537"/>
      <c r="G9" s="342"/>
      <c r="H9" s="342"/>
      <c r="I9" s="337"/>
      <c r="J9" s="343" t="str">
        <f t="shared" si="0"/>
        <v>-</v>
      </c>
      <c r="K9" s="344" t="str">
        <f t="shared" si="1"/>
        <v>-</v>
      </c>
    </row>
    <row r="10" spans="2:11" s="330" customFormat="1" ht="21.95" customHeight="1" x14ac:dyDescent="0.25">
      <c r="B10" s="329" t="s">
        <v>28</v>
      </c>
      <c r="D10" s="345"/>
      <c r="E10" s="345"/>
      <c r="F10" s="347"/>
      <c r="G10" s="345"/>
      <c r="H10" s="345"/>
      <c r="I10" s="332"/>
      <c r="J10" s="505" t="str">
        <f t="shared" si="0"/>
        <v>-</v>
      </c>
      <c r="K10" s="506" t="str">
        <f t="shared" si="1"/>
        <v>-</v>
      </c>
    </row>
    <row r="11" spans="2:11" s="334" customFormat="1" ht="21.95" customHeight="1" x14ac:dyDescent="0.25">
      <c r="B11" s="333" t="s">
        <v>27</v>
      </c>
      <c r="D11" s="335"/>
      <c r="E11" s="336"/>
      <c r="F11" s="537"/>
      <c r="G11" s="336"/>
      <c r="H11" s="336"/>
      <c r="I11" s="337"/>
      <c r="J11" s="338" t="str">
        <f t="shared" si="0"/>
        <v>-</v>
      </c>
      <c r="K11" s="339" t="str">
        <f t="shared" si="1"/>
        <v>-</v>
      </c>
    </row>
    <row r="12" spans="2:11" s="334" customFormat="1" ht="21.95" customHeight="1" x14ac:dyDescent="0.25">
      <c r="B12" s="340" t="s">
        <v>64</v>
      </c>
      <c r="D12" s="341"/>
      <c r="E12" s="341"/>
      <c r="F12" s="336"/>
      <c r="G12" s="336"/>
      <c r="H12" s="342"/>
      <c r="I12" s="337"/>
      <c r="J12" s="343" t="str">
        <f t="shared" si="0"/>
        <v>-</v>
      </c>
      <c r="K12" s="344" t="str">
        <f t="shared" si="1"/>
        <v>-</v>
      </c>
    </row>
    <row r="13" spans="2:11" s="330" customFormat="1" ht="21.95" customHeight="1" x14ac:dyDescent="0.25">
      <c r="B13" s="329" t="s">
        <v>65</v>
      </c>
      <c r="D13" s="346"/>
      <c r="E13" s="345"/>
      <c r="F13" s="347"/>
      <c r="G13" s="345"/>
      <c r="H13" s="345"/>
      <c r="I13" s="332"/>
      <c r="J13" s="338" t="str">
        <f t="shared" si="0"/>
        <v>-</v>
      </c>
      <c r="K13" s="339" t="str">
        <f t="shared" si="1"/>
        <v>-</v>
      </c>
    </row>
    <row r="14" spans="2:11" s="330" customFormat="1" ht="21.95" customHeight="1" x14ac:dyDescent="0.25">
      <c r="B14" s="329" t="s">
        <v>186</v>
      </c>
      <c r="D14" s="345"/>
      <c r="E14" s="345"/>
      <c r="F14" s="347"/>
      <c r="G14" s="345"/>
      <c r="H14" s="345"/>
      <c r="I14" s="332"/>
      <c r="J14" s="505" t="str">
        <f t="shared" si="0"/>
        <v>-</v>
      </c>
      <c r="K14" s="506" t="str">
        <f t="shared" si="1"/>
        <v>-</v>
      </c>
    </row>
    <row r="15" spans="2:11" s="330" customFormat="1" ht="21.95" customHeight="1" x14ac:dyDescent="0.25">
      <c r="B15" s="333" t="s">
        <v>27</v>
      </c>
      <c r="D15" s="335"/>
      <c r="E15" s="336"/>
      <c r="F15" s="537"/>
      <c r="G15" s="336"/>
      <c r="H15" s="336"/>
      <c r="I15" s="337"/>
      <c r="J15" s="338" t="str">
        <f t="shared" si="0"/>
        <v>-</v>
      </c>
      <c r="K15" s="673" t="str">
        <f t="shared" si="1"/>
        <v>-</v>
      </c>
    </row>
    <row r="16" spans="2:11" s="330" customFormat="1" ht="21.95" customHeight="1" x14ac:dyDescent="0.25">
      <c r="B16" s="333" t="s">
        <v>64</v>
      </c>
      <c r="D16" s="341"/>
      <c r="E16" s="342"/>
      <c r="F16" s="537"/>
      <c r="G16" s="342"/>
      <c r="H16" s="342"/>
      <c r="I16" s="337"/>
      <c r="J16" s="343" t="str">
        <f t="shared" si="0"/>
        <v>-</v>
      </c>
      <c r="K16" s="344" t="str">
        <f t="shared" si="1"/>
        <v>-</v>
      </c>
    </row>
    <row r="17" spans="2:11" s="330" customFormat="1" ht="21.95" customHeight="1" x14ac:dyDescent="0.25">
      <c r="B17" s="559" t="s">
        <v>167</v>
      </c>
      <c r="D17" s="560"/>
      <c r="E17" s="560"/>
      <c r="F17" s="560"/>
      <c r="G17" s="560"/>
      <c r="H17" s="560"/>
      <c r="I17" s="332"/>
      <c r="J17" s="561" t="str">
        <f t="shared" ref="J17" si="2">IFERROR(G17/D17-1,"-")</f>
        <v>-</v>
      </c>
      <c r="K17" s="562" t="str">
        <f t="shared" ref="K17" si="3">IFERROR(H17/E17-1,"-")</f>
        <v>-</v>
      </c>
    </row>
    <row r="18" spans="2:11" s="330" customFormat="1" ht="21.95" customHeight="1" x14ac:dyDescent="0.25">
      <c r="B18" s="333" t="s">
        <v>27</v>
      </c>
      <c r="D18" s="336"/>
      <c r="E18" s="336"/>
      <c r="F18" s="537"/>
      <c r="G18" s="336"/>
      <c r="H18" s="336"/>
      <c r="I18" s="337"/>
      <c r="J18" s="672" t="str">
        <f t="shared" si="0"/>
        <v>-</v>
      </c>
      <c r="K18" s="339" t="str">
        <f t="shared" si="1"/>
        <v>-</v>
      </c>
    </row>
    <row r="19" spans="2:11" s="330" customFormat="1" ht="21.75" customHeight="1" x14ac:dyDescent="0.25">
      <c r="B19" s="333" t="s">
        <v>64</v>
      </c>
      <c r="D19" s="336"/>
      <c r="E19" s="336"/>
      <c r="F19" s="537"/>
      <c r="G19" s="336"/>
      <c r="H19" s="336"/>
      <c r="I19" s="337"/>
      <c r="J19" s="338" t="str">
        <f t="shared" ref="J19:J20" si="4">IFERROR(G19/D19-1,"-")</f>
        <v>-</v>
      </c>
      <c r="K19" s="339" t="str">
        <f t="shared" ref="K19:K20" si="5">IFERROR(H19/E19-1,"-")</f>
        <v>-</v>
      </c>
    </row>
    <row r="20" spans="2:11" s="330" customFormat="1" ht="28.5" customHeight="1" x14ac:dyDescent="0.25">
      <c r="B20" s="563" t="s">
        <v>168</v>
      </c>
      <c r="D20" s="342"/>
      <c r="E20" s="342"/>
      <c r="F20" s="537"/>
      <c r="G20" s="342"/>
      <c r="H20" s="342"/>
      <c r="I20" s="337"/>
      <c r="J20" s="343" t="str">
        <f t="shared" si="4"/>
        <v>-</v>
      </c>
      <c r="K20" s="344" t="str">
        <f t="shared" si="5"/>
        <v>-</v>
      </c>
    </row>
    <row r="21" spans="2:11" s="330" customFormat="1" ht="21.95" customHeight="1" x14ac:dyDescent="0.25">
      <c r="B21" s="558" t="s">
        <v>66</v>
      </c>
      <c r="D21" s="348"/>
      <c r="E21" s="348"/>
      <c r="F21" s="347"/>
      <c r="G21" s="348"/>
      <c r="H21" s="348"/>
      <c r="I21" s="332"/>
      <c r="J21" s="338" t="str">
        <f t="shared" si="0"/>
        <v>-</v>
      </c>
      <c r="K21" s="339" t="str">
        <f t="shared" si="1"/>
        <v>-</v>
      </c>
    </row>
    <row r="22" spans="2:11" s="350" customFormat="1" ht="6" customHeight="1" x14ac:dyDescent="0.25">
      <c r="B22" s="349"/>
      <c r="D22" s="351"/>
      <c r="E22" s="351"/>
      <c r="F22" s="351"/>
      <c r="G22" s="351"/>
      <c r="H22" s="351"/>
      <c r="I22" s="352"/>
      <c r="J22" s="507"/>
      <c r="K22" s="507"/>
    </row>
    <row r="23" spans="2:11" s="330" customFormat="1" ht="21.95" customHeight="1" x14ac:dyDescent="0.25">
      <c r="B23" s="329" t="s">
        <v>67</v>
      </c>
      <c r="D23" s="331"/>
      <c r="E23" s="331"/>
      <c r="F23" s="351"/>
      <c r="G23" s="331"/>
      <c r="H23" s="331"/>
      <c r="I23" s="332"/>
      <c r="J23" s="505" t="str">
        <f t="shared" si="0"/>
        <v>-</v>
      </c>
      <c r="K23" s="506" t="str">
        <f t="shared" si="1"/>
        <v>-</v>
      </c>
    </row>
    <row r="24" spans="2:11" s="330" customFormat="1" ht="21.95" customHeight="1" x14ac:dyDescent="0.25">
      <c r="B24" s="333" t="s">
        <v>27</v>
      </c>
      <c r="D24" s="353"/>
      <c r="E24" s="353"/>
      <c r="F24" s="351"/>
      <c r="G24" s="353"/>
      <c r="H24" s="353"/>
      <c r="I24" s="337"/>
      <c r="J24" s="338" t="str">
        <f t="shared" si="0"/>
        <v>-</v>
      </c>
      <c r="K24" s="339" t="str">
        <f t="shared" si="1"/>
        <v>-</v>
      </c>
    </row>
    <row r="25" spans="2:11" s="330" customFormat="1" ht="21.95" customHeight="1" x14ac:dyDescent="0.25">
      <c r="B25" s="340" t="s">
        <v>64</v>
      </c>
      <c r="D25" s="354"/>
      <c r="E25" s="354"/>
      <c r="F25" s="351"/>
      <c r="G25" s="354"/>
      <c r="H25" s="354"/>
      <c r="I25" s="337"/>
      <c r="J25" s="343" t="str">
        <f t="shared" si="0"/>
        <v>-</v>
      </c>
      <c r="K25" s="344" t="str">
        <f t="shared" si="1"/>
        <v>-</v>
      </c>
    </row>
    <row r="26" spans="2:11" s="350" customFormat="1" ht="6" customHeight="1" x14ac:dyDescent="0.25">
      <c r="B26" s="349"/>
      <c r="D26" s="351"/>
      <c r="E26" s="351"/>
      <c r="F26" s="351"/>
      <c r="G26" s="351"/>
      <c r="H26" s="351"/>
      <c r="I26" s="352"/>
      <c r="J26" s="507"/>
      <c r="K26" s="507"/>
    </row>
    <row r="27" spans="2:11" s="330" customFormat="1" ht="21.95" customHeight="1" x14ac:dyDescent="0.25">
      <c r="B27" s="329" t="s">
        <v>188</v>
      </c>
      <c r="D27" s="648"/>
      <c r="E27" s="331"/>
      <c r="F27" s="351"/>
      <c r="G27" s="331"/>
      <c r="H27" s="331"/>
      <c r="I27" s="332"/>
      <c r="J27" s="505" t="str">
        <f t="shared" ref="J27:J29" si="6">IFERROR(G27/D27-1,"-")</f>
        <v>-</v>
      </c>
      <c r="K27" s="506" t="str">
        <f t="shared" ref="K27:K29" si="7">IFERROR(H27/E27-1,"-")</f>
        <v>-</v>
      </c>
    </row>
    <row r="28" spans="2:11" s="330" customFormat="1" ht="21.95" customHeight="1" x14ac:dyDescent="0.25">
      <c r="B28" s="333" t="s">
        <v>27</v>
      </c>
      <c r="D28" s="30"/>
      <c r="E28" s="353"/>
      <c r="F28" s="351"/>
      <c r="G28" s="353"/>
      <c r="H28" s="353"/>
      <c r="I28" s="337"/>
      <c r="J28" s="338" t="str">
        <f t="shared" si="6"/>
        <v>-</v>
      </c>
      <c r="K28" s="339" t="str">
        <f t="shared" si="7"/>
        <v>-</v>
      </c>
    </row>
    <row r="29" spans="2:11" s="330" customFormat="1" ht="21.95" customHeight="1" x14ac:dyDescent="0.25">
      <c r="B29" s="340" t="s">
        <v>64</v>
      </c>
      <c r="D29" s="250"/>
      <c r="E29" s="354"/>
      <c r="F29" s="351"/>
      <c r="G29" s="354"/>
      <c r="H29" s="354"/>
      <c r="I29" s="337"/>
      <c r="J29" s="343" t="str">
        <f t="shared" si="6"/>
        <v>-</v>
      </c>
      <c r="K29" s="344" t="str">
        <f t="shared" si="7"/>
        <v>-</v>
      </c>
    </row>
    <row r="30" spans="2:11" s="350" customFormat="1" ht="6" customHeight="1" x14ac:dyDescent="0.25">
      <c r="B30" s="349"/>
      <c r="D30" s="351"/>
      <c r="E30" s="351"/>
      <c r="F30" s="351"/>
      <c r="G30" s="351"/>
      <c r="H30" s="351"/>
      <c r="I30" s="352"/>
      <c r="J30" s="647"/>
      <c r="K30" s="647"/>
    </row>
    <row r="31" spans="2:11" s="330" customFormat="1" ht="21.95" customHeight="1" x14ac:dyDescent="0.25">
      <c r="B31" s="329" t="s">
        <v>187</v>
      </c>
      <c r="D31" s="331"/>
      <c r="E31" s="331"/>
      <c r="F31" s="351"/>
      <c r="G31" s="665"/>
      <c r="H31" s="665"/>
      <c r="I31" s="332"/>
      <c r="J31" s="505" t="str">
        <f t="shared" ref="J31:J33" si="8">IFERROR(G31/D31-1,"-")</f>
        <v>-</v>
      </c>
      <c r="K31" s="506" t="str">
        <f t="shared" ref="K31:K33" si="9">IFERROR(H31/E31-1,"-")</f>
        <v>-</v>
      </c>
    </row>
    <row r="32" spans="2:11" s="330" customFormat="1" ht="21.95" customHeight="1" x14ac:dyDescent="0.25">
      <c r="B32" s="333" t="s">
        <v>184</v>
      </c>
      <c r="D32" s="353"/>
      <c r="E32" s="353"/>
      <c r="F32" s="351"/>
      <c r="G32" s="666"/>
      <c r="H32" s="666"/>
      <c r="I32" s="337"/>
      <c r="J32" s="338" t="str">
        <f t="shared" si="8"/>
        <v>-</v>
      </c>
      <c r="K32" s="339" t="str">
        <f t="shared" si="9"/>
        <v>-</v>
      </c>
    </row>
    <row r="33" spans="2:11" s="330" customFormat="1" ht="21.95" customHeight="1" x14ac:dyDescent="0.25">
      <c r="B33" s="340" t="s">
        <v>185</v>
      </c>
      <c r="D33" s="354"/>
      <c r="E33" s="354"/>
      <c r="F33" s="351"/>
      <c r="G33" s="667"/>
      <c r="H33" s="667"/>
      <c r="I33" s="337"/>
      <c r="J33" s="343" t="str">
        <f t="shared" si="8"/>
        <v>-</v>
      </c>
      <c r="K33" s="344" t="str">
        <f t="shared" si="9"/>
        <v>-</v>
      </c>
    </row>
    <row r="34" spans="2:11" s="330" customFormat="1" ht="27.75" customHeight="1" x14ac:dyDescent="0.2">
      <c r="B34" s="869" t="s">
        <v>176</v>
      </c>
      <c r="C34" s="869"/>
      <c r="D34" s="869"/>
      <c r="E34" s="869"/>
      <c r="F34" s="869"/>
      <c r="G34" s="869"/>
      <c r="H34" s="869"/>
      <c r="I34" s="869"/>
      <c r="J34" s="869"/>
      <c r="K34" s="869"/>
    </row>
    <row r="35" spans="2:11" s="330" customFormat="1" ht="21.95" customHeight="1" x14ac:dyDescent="0.2">
      <c r="B35" s="637"/>
      <c r="C35" s="637"/>
      <c r="D35" s="637"/>
      <c r="E35" s="637"/>
      <c r="F35" s="637"/>
      <c r="G35" s="637"/>
      <c r="H35" s="637"/>
      <c r="I35" s="637"/>
      <c r="J35" s="637"/>
      <c r="K35" s="637"/>
    </row>
    <row r="36" spans="2:11" s="330" customFormat="1" ht="21.95" customHeight="1" x14ac:dyDescent="0.25">
      <c r="B36" s="355"/>
      <c r="D36" s="624"/>
      <c r="E36" s="624"/>
      <c r="F36" s="624"/>
      <c r="G36" s="624"/>
      <c r="H36" s="624"/>
      <c r="I36" s="624"/>
      <c r="J36" s="624"/>
    </row>
    <row r="37" spans="2:11" ht="21.95" customHeight="1" x14ac:dyDescent="0.25">
      <c r="D37" s="624"/>
      <c r="E37" s="624"/>
      <c r="F37" s="624"/>
      <c r="G37" s="624"/>
      <c r="H37" s="624"/>
      <c r="I37" s="624"/>
      <c r="J37" s="624"/>
    </row>
    <row r="38" spans="2:11" ht="21.95" customHeight="1" x14ac:dyDescent="0.25">
      <c r="D38" s="624"/>
      <c r="E38" s="624"/>
      <c r="F38" s="624"/>
      <c r="G38" s="624"/>
      <c r="H38" s="624"/>
      <c r="I38" s="624"/>
      <c r="J38" s="625"/>
    </row>
    <row r="39" spans="2:11" ht="21.95" customHeight="1" x14ac:dyDescent="0.25">
      <c r="D39" s="624"/>
      <c r="E39" s="624"/>
      <c r="F39" s="624"/>
      <c r="G39" s="624"/>
      <c r="H39" s="624"/>
      <c r="I39" s="624"/>
      <c r="J39" s="625"/>
    </row>
    <row r="40" spans="2:11" ht="21.95" customHeight="1" x14ac:dyDescent="0.25">
      <c r="D40" s="624"/>
      <c r="E40" s="624"/>
      <c r="F40" s="624"/>
      <c r="G40" s="624"/>
      <c r="H40" s="624"/>
      <c r="I40" s="626"/>
      <c r="J40" s="625"/>
    </row>
    <row r="41" spans="2:11" ht="21.95" customHeight="1" x14ac:dyDescent="0.25">
      <c r="D41" s="624"/>
      <c r="E41" s="624"/>
      <c r="F41" s="624"/>
      <c r="G41" s="624"/>
      <c r="H41" s="624"/>
      <c r="I41" s="626"/>
      <c r="J41" s="625"/>
    </row>
    <row r="42" spans="2:11" ht="21.95" customHeight="1" x14ac:dyDescent="0.25">
      <c r="D42" s="624"/>
      <c r="E42" s="627"/>
      <c r="F42" s="625"/>
      <c r="G42" s="625"/>
      <c r="H42" s="625"/>
      <c r="I42" s="625"/>
      <c r="J42" s="625"/>
    </row>
    <row r="43" spans="2:11" ht="21.95" customHeight="1" x14ac:dyDescent="0.25">
      <c r="D43" s="356"/>
      <c r="E43" s="357"/>
    </row>
    <row r="44" spans="2:11" ht="21.95" customHeight="1" x14ac:dyDescent="0.25">
      <c r="D44" s="356"/>
      <c r="E44" s="357"/>
    </row>
    <row r="45" spans="2:11" ht="21.95" customHeight="1" x14ac:dyDescent="0.25">
      <c r="D45" s="357"/>
      <c r="E45" s="357"/>
    </row>
    <row r="46" spans="2:11" ht="21.95" customHeight="1" x14ac:dyDescent="0.25">
      <c r="D46" s="357"/>
      <c r="E46" s="357"/>
    </row>
    <row r="47" spans="2:11" ht="21.95" customHeight="1" x14ac:dyDescent="0.25">
      <c r="D47" s="357"/>
      <c r="E47" s="357"/>
    </row>
    <row r="48" spans="2:11" x14ac:dyDescent="0.25">
      <c r="D48" s="357"/>
      <c r="E48" s="357"/>
    </row>
    <row r="49" spans="4:8" x14ac:dyDescent="0.25">
      <c r="D49" s="357"/>
      <c r="E49" s="357"/>
    </row>
    <row r="50" spans="4:8" x14ac:dyDescent="0.25">
      <c r="D50" s="357"/>
      <c r="E50" s="357"/>
    </row>
    <row r="51" spans="4:8" x14ac:dyDescent="0.25">
      <c r="D51" s="357"/>
      <c r="E51" s="357"/>
    </row>
    <row r="53" spans="4:8" x14ac:dyDescent="0.25">
      <c r="E53" s="358"/>
    </row>
    <row r="54" spans="4:8" x14ac:dyDescent="0.25">
      <c r="D54" s="521"/>
      <c r="E54" s="521"/>
      <c r="F54" s="521"/>
      <c r="G54" s="521"/>
      <c r="H54" s="521"/>
    </row>
    <row r="55" spans="4:8" x14ac:dyDescent="0.25">
      <c r="D55" s="521"/>
      <c r="E55" s="521"/>
      <c r="F55" s="521"/>
      <c r="G55" s="521"/>
      <c r="H55" s="521"/>
    </row>
    <row r="56" spans="4:8" x14ac:dyDescent="0.25">
      <c r="D56" s="521"/>
      <c r="E56" s="521"/>
      <c r="F56" s="521"/>
      <c r="G56" s="521"/>
      <c r="H56" s="521"/>
    </row>
    <row r="57" spans="4:8" x14ac:dyDescent="0.25">
      <c r="D57" s="521"/>
      <c r="E57" s="521"/>
      <c r="F57" s="521"/>
      <c r="G57" s="521"/>
      <c r="H57" s="521"/>
    </row>
    <row r="58" spans="4:8" x14ac:dyDescent="0.25">
      <c r="D58" s="521"/>
      <c r="E58" s="521"/>
      <c r="F58" s="521"/>
      <c r="G58" s="521"/>
      <c r="H58" s="521"/>
    </row>
    <row r="59" spans="4:8" x14ac:dyDescent="0.25">
      <c r="D59" s="521"/>
      <c r="E59" s="521"/>
      <c r="F59" s="521"/>
      <c r="G59" s="521"/>
      <c r="H59" s="521"/>
    </row>
    <row r="60" spans="4:8" x14ac:dyDescent="0.25">
      <c r="D60" s="521"/>
      <c r="E60" s="521"/>
      <c r="F60" s="521"/>
      <c r="G60" s="521"/>
      <c r="H60" s="521"/>
    </row>
    <row r="61" spans="4:8" x14ac:dyDescent="0.25">
      <c r="D61" s="521"/>
      <c r="E61" s="521"/>
      <c r="F61" s="521"/>
      <c r="G61" s="521"/>
      <c r="H61" s="521"/>
    </row>
    <row r="62" spans="4:8" x14ac:dyDescent="0.25">
      <c r="D62" s="521"/>
      <c r="E62" s="521"/>
      <c r="F62" s="521"/>
      <c r="G62" s="521"/>
      <c r="H62" s="521"/>
    </row>
    <row r="63" spans="4:8" x14ac:dyDescent="0.25">
      <c r="D63" s="521"/>
      <c r="E63" s="521"/>
      <c r="F63" s="521"/>
      <c r="G63" s="521"/>
      <c r="H63" s="521"/>
    </row>
    <row r="64" spans="4:8" x14ac:dyDescent="0.25">
      <c r="D64" s="521"/>
      <c r="E64" s="521"/>
      <c r="F64" s="521"/>
      <c r="G64" s="521"/>
      <c r="H64" s="521"/>
    </row>
    <row r="65" spans="4:8" x14ac:dyDescent="0.25">
      <c r="D65" s="521"/>
      <c r="E65" s="521"/>
      <c r="F65" s="521"/>
      <c r="G65" s="521"/>
      <c r="H65" s="521"/>
    </row>
    <row r="66" spans="4:8" x14ac:dyDescent="0.25">
      <c r="D66" s="521"/>
      <c r="E66" s="521"/>
      <c r="F66" s="521"/>
      <c r="G66" s="521"/>
      <c r="H66" s="521"/>
    </row>
    <row r="67" spans="4:8" x14ac:dyDescent="0.25">
      <c r="D67" s="521"/>
      <c r="E67" s="521"/>
      <c r="F67" s="521"/>
      <c r="G67" s="521"/>
      <c r="H67" s="521"/>
    </row>
    <row r="68" spans="4:8" x14ac:dyDescent="0.25">
      <c r="D68" s="521"/>
      <c r="E68" s="521"/>
      <c r="F68" s="521"/>
      <c r="G68" s="521"/>
      <c r="H68" s="521"/>
    </row>
    <row r="69" spans="4:8" x14ac:dyDescent="0.25">
      <c r="D69" s="521"/>
      <c r="E69" s="521"/>
      <c r="F69" s="521"/>
      <c r="G69" s="521"/>
      <c r="H69" s="521"/>
    </row>
    <row r="70" spans="4:8" x14ac:dyDescent="0.25">
      <c r="D70" s="521"/>
      <c r="E70" s="521"/>
      <c r="F70" s="521"/>
      <c r="G70" s="521"/>
      <c r="H70" s="521"/>
    </row>
    <row r="71" spans="4:8" x14ac:dyDescent="0.25">
      <c r="D71" s="521"/>
      <c r="E71" s="521"/>
      <c r="F71" s="521"/>
      <c r="G71" s="521"/>
      <c r="H71" s="521"/>
    </row>
    <row r="72" spans="4:8" x14ac:dyDescent="0.25">
      <c r="D72" s="521"/>
      <c r="E72" s="521"/>
      <c r="F72" s="521"/>
      <c r="G72" s="521"/>
      <c r="H72" s="521"/>
    </row>
  </sheetData>
  <mergeCells count="7">
    <mergeCell ref="B34:K34"/>
    <mergeCell ref="B6:C6"/>
    <mergeCell ref="B2:K2"/>
    <mergeCell ref="D4:E4"/>
    <mergeCell ref="G4:H4"/>
    <mergeCell ref="J4:K4"/>
    <mergeCell ref="J5:K5"/>
  </mergeCell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79" orientation="landscape" r:id="rId1"/>
  <headerFooter>
    <oddFooter>&amp;LDCP SPE &amp;R9</oddFooter>
  </headerFooter>
  <customProperties>
    <customPr name="EpmWorksheetKeyString_GUID" r:id="rId2"/>
  </customProperties>
  <ignoredErrors>
    <ignoredError sqref="D6:H6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U26"/>
  <sheetViews>
    <sheetView showGridLines="0" view="pageBreakPreview" zoomScale="85" zoomScaleNormal="80" zoomScaleSheetLayoutView="85" workbookViewId="0">
      <selection activeCell="F7" sqref="F7:O17"/>
    </sheetView>
  </sheetViews>
  <sheetFormatPr baseColWidth="10" defaultColWidth="11.42578125" defaultRowHeight="12.75" x14ac:dyDescent="0.25"/>
  <cols>
    <col min="1" max="1" width="4" style="2" customWidth="1"/>
    <col min="2" max="2" width="22.85546875" style="128" customWidth="1"/>
    <col min="3" max="3" width="0.85546875" style="2" customWidth="1"/>
    <col min="4" max="4" width="20" style="3" customWidth="1"/>
    <col min="5" max="5" width="0.85546875" style="3" customWidth="1"/>
    <col min="6" max="6" width="15.7109375" style="3" customWidth="1"/>
    <col min="7" max="7" width="15.7109375" style="2" customWidth="1"/>
    <col min="8" max="8" width="0.85546875" style="2" customWidth="1"/>
    <col min="9" max="10" width="15.7109375" style="2" customWidth="1"/>
    <col min="11" max="11" width="0.85546875" style="2" customWidth="1"/>
    <col min="12" max="13" width="15.7109375" style="2" customWidth="1"/>
    <col min="14" max="14" width="0.85546875" style="2" customWidth="1"/>
    <col min="15" max="15" width="15.7109375" style="2" customWidth="1"/>
    <col min="16" max="16" width="0.85546875" style="2" customWidth="1"/>
    <col min="17" max="21" width="7.7109375" style="2" customWidth="1"/>
    <col min="22" max="101" width="11.42578125" style="2"/>
    <col min="102" max="102" width="4" style="2" customWidth="1"/>
    <col min="103" max="103" width="24.7109375" style="2" customWidth="1"/>
    <col min="104" max="104" width="0.85546875" style="2" customWidth="1"/>
    <col min="105" max="105" width="10.7109375" style="2" customWidth="1"/>
    <col min="106" max="106" width="0.85546875" style="2" customWidth="1"/>
    <col min="107" max="107" width="14.7109375" style="2" customWidth="1"/>
    <col min="108" max="108" width="20" style="2" customWidth="1"/>
    <col min="109" max="109" width="0.85546875" style="2" customWidth="1"/>
    <col min="110" max="111" width="14.7109375" style="2" customWidth="1"/>
    <col min="112" max="112" width="0.85546875" style="2" customWidth="1"/>
    <col min="113" max="114" width="14.7109375" style="2" customWidth="1"/>
    <col min="115" max="115" width="0.85546875" style="2" customWidth="1"/>
    <col min="116" max="116" width="14.7109375" style="2" customWidth="1"/>
    <col min="117" max="117" width="0.85546875" style="2" customWidth="1"/>
    <col min="118" max="119" width="6.7109375" style="2" customWidth="1"/>
    <col min="120" max="120" width="7.7109375" style="2" bestFit="1" customWidth="1"/>
    <col min="121" max="122" width="6.7109375" style="2" customWidth="1"/>
    <col min="123" max="357" width="11.42578125" style="2"/>
    <col min="358" max="358" width="4" style="2" customWidth="1"/>
    <col min="359" max="359" width="24.7109375" style="2" customWidth="1"/>
    <col min="360" max="360" width="0.85546875" style="2" customWidth="1"/>
    <col min="361" max="361" width="10.7109375" style="2" customWidth="1"/>
    <col min="362" max="362" width="0.85546875" style="2" customWidth="1"/>
    <col min="363" max="363" width="14.7109375" style="2" customWidth="1"/>
    <col min="364" max="364" width="20" style="2" customWidth="1"/>
    <col min="365" max="365" width="0.85546875" style="2" customWidth="1"/>
    <col min="366" max="367" width="14.7109375" style="2" customWidth="1"/>
    <col min="368" max="368" width="0.85546875" style="2" customWidth="1"/>
    <col min="369" max="370" width="14.7109375" style="2" customWidth="1"/>
    <col min="371" max="371" width="0.85546875" style="2" customWidth="1"/>
    <col min="372" max="372" width="14.7109375" style="2" customWidth="1"/>
    <col min="373" max="373" width="0.85546875" style="2" customWidth="1"/>
    <col min="374" max="375" width="6.7109375" style="2" customWidth="1"/>
    <col min="376" max="376" width="7.7109375" style="2" bestFit="1" customWidth="1"/>
    <col min="377" max="378" width="6.7109375" style="2" customWidth="1"/>
    <col min="379" max="613" width="11.42578125" style="2"/>
    <col min="614" max="614" width="4" style="2" customWidth="1"/>
    <col min="615" max="615" width="24.7109375" style="2" customWidth="1"/>
    <col min="616" max="616" width="0.85546875" style="2" customWidth="1"/>
    <col min="617" max="617" width="10.7109375" style="2" customWidth="1"/>
    <col min="618" max="618" width="0.85546875" style="2" customWidth="1"/>
    <col min="619" max="619" width="14.7109375" style="2" customWidth="1"/>
    <col min="620" max="620" width="20" style="2" customWidth="1"/>
    <col min="621" max="621" width="0.85546875" style="2" customWidth="1"/>
    <col min="622" max="623" width="14.7109375" style="2" customWidth="1"/>
    <col min="624" max="624" width="0.85546875" style="2" customWidth="1"/>
    <col min="625" max="626" width="14.7109375" style="2" customWidth="1"/>
    <col min="627" max="627" width="0.85546875" style="2" customWidth="1"/>
    <col min="628" max="628" width="14.7109375" style="2" customWidth="1"/>
    <col min="629" max="629" width="0.85546875" style="2" customWidth="1"/>
    <col min="630" max="631" width="6.7109375" style="2" customWidth="1"/>
    <col min="632" max="632" width="7.7109375" style="2" bestFit="1" customWidth="1"/>
    <col min="633" max="634" width="6.7109375" style="2" customWidth="1"/>
    <col min="635" max="869" width="11.42578125" style="2"/>
    <col min="870" max="870" width="4" style="2" customWidth="1"/>
    <col min="871" max="871" width="24.7109375" style="2" customWidth="1"/>
    <col min="872" max="872" width="0.85546875" style="2" customWidth="1"/>
    <col min="873" max="873" width="10.7109375" style="2" customWidth="1"/>
    <col min="874" max="874" width="0.85546875" style="2" customWidth="1"/>
    <col min="875" max="875" width="14.7109375" style="2" customWidth="1"/>
    <col min="876" max="876" width="20" style="2" customWidth="1"/>
    <col min="877" max="877" width="0.85546875" style="2" customWidth="1"/>
    <col min="878" max="879" width="14.7109375" style="2" customWidth="1"/>
    <col min="880" max="880" width="0.85546875" style="2" customWidth="1"/>
    <col min="881" max="882" width="14.7109375" style="2" customWidth="1"/>
    <col min="883" max="883" width="0.85546875" style="2" customWidth="1"/>
    <col min="884" max="884" width="14.7109375" style="2" customWidth="1"/>
    <col min="885" max="885" width="0.85546875" style="2" customWidth="1"/>
    <col min="886" max="887" width="6.7109375" style="2" customWidth="1"/>
    <col min="888" max="888" width="7.7109375" style="2" bestFit="1" customWidth="1"/>
    <col min="889" max="890" width="6.7109375" style="2" customWidth="1"/>
    <col min="891" max="1125" width="11.42578125" style="2"/>
    <col min="1126" max="1126" width="4" style="2" customWidth="1"/>
    <col min="1127" max="1127" width="24.7109375" style="2" customWidth="1"/>
    <col min="1128" max="1128" width="0.85546875" style="2" customWidth="1"/>
    <col min="1129" max="1129" width="10.7109375" style="2" customWidth="1"/>
    <col min="1130" max="1130" width="0.85546875" style="2" customWidth="1"/>
    <col min="1131" max="1131" width="14.7109375" style="2" customWidth="1"/>
    <col min="1132" max="1132" width="20" style="2" customWidth="1"/>
    <col min="1133" max="1133" width="0.85546875" style="2" customWidth="1"/>
    <col min="1134" max="1135" width="14.7109375" style="2" customWidth="1"/>
    <col min="1136" max="1136" width="0.85546875" style="2" customWidth="1"/>
    <col min="1137" max="1138" width="14.7109375" style="2" customWidth="1"/>
    <col min="1139" max="1139" width="0.85546875" style="2" customWidth="1"/>
    <col min="1140" max="1140" width="14.7109375" style="2" customWidth="1"/>
    <col min="1141" max="1141" width="0.85546875" style="2" customWidth="1"/>
    <col min="1142" max="1143" width="6.7109375" style="2" customWidth="1"/>
    <col min="1144" max="1144" width="7.7109375" style="2" bestFit="1" customWidth="1"/>
    <col min="1145" max="1146" width="6.7109375" style="2" customWidth="1"/>
    <col min="1147" max="1381" width="11.42578125" style="2"/>
    <col min="1382" max="1382" width="4" style="2" customWidth="1"/>
    <col min="1383" max="1383" width="24.7109375" style="2" customWidth="1"/>
    <col min="1384" max="1384" width="0.85546875" style="2" customWidth="1"/>
    <col min="1385" max="1385" width="10.7109375" style="2" customWidth="1"/>
    <col min="1386" max="1386" width="0.85546875" style="2" customWidth="1"/>
    <col min="1387" max="1387" width="14.7109375" style="2" customWidth="1"/>
    <col min="1388" max="1388" width="20" style="2" customWidth="1"/>
    <col min="1389" max="1389" width="0.85546875" style="2" customWidth="1"/>
    <col min="1390" max="1391" width="14.7109375" style="2" customWidth="1"/>
    <col min="1392" max="1392" width="0.85546875" style="2" customWidth="1"/>
    <col min="1393" max="1394" width="14.7109375" style="2" customWidth="1"/>
    <col min="1395" max="1395" width="0.85546875" style="2" customWidth="1"/>
    <col min="1396" max="1396" width="14.7109375" style="2" customWidth="1"/>
    <col min="1397" max="1397" width="0.85546875" style="2" customWidth="1"/>
    <col min="1398" max="1399" width="6.7109375" style="2" customWidth="1"/>
    <col min="1400" max="1400" width="7.7109375" style="2" bestFit="1" customWidth="1"/>
    <col min="1401" max="1402" width="6.7109375" style="2" customWidth="1"/>
    <col min="1403" max="1637" width="11.42578125" style="2"/>
    <col min="1638" max="1638" width="4" style="2" customWidth="1"/>
    <col min="1639" max="1639" width="24.7109375" style="2" customWidth="1"/>
    <col min="1640" max="1640" width="0.85546875" style="2" customWidth="1"/>
    <col min="1641" max="1641" width="10.7109375" style="2" customWidth="1"/>
    <col min="1642" max="1642" width="0.85546875" style="2" customWidth="1"/>
    <col min="1643" max="1643" width="14.7109375" style="2" customWidth="1"/>
    <col min="1644" max="1644" width="20" style="2" customWidth="1"/>
    <col min="1645" max="1645" width="0.85546875" style="2" customWidth="1"/>
    <col min="1646" max="1647" width="14.7109375" style="2" customWidth="1"/>
    <col min="1648" max="1648" width="0.85546875" style="2" customWidth="1"/>
    <col min="1649" max="1650" width="14.7109375" style="2" customWidth="1"/>
    <col min="1651" max="1651" width="0.85546875" style="2" customWidth="1"/>
    <col min="1652" max="1652" width="14.7109375" style="2" customWidth="1"/>
    <col min="1653" max="1653" width="0.85546875" style="2" customWidth="1"/>
    <col min="1654" max="1655" width="6.7109375" style="2" customWidth="1"/>
    <col min="1656" max="1656" width="7.7109375" style="2" bestFit="1" customWidth="1"/>
    <col min="1657" max="1658" width="6.7109375" style="2" customWidth="1"/>
    <col min="1659" max="1893" width="11.42578125" style="2"/>
    <col min="1894" max="1894" width="4" style="2" customWidth="1"/>
    <col min="1895" max="1895" width="24.7109375" style="2" customWidth="1"/>
    <col min="1896" max="1896" width="0.85546875" style="2" customWidth="1"/>
    <col min="1897" max="1897" width="10.7109375" style="2" customWidth="1"/>
    <col min="1898" max="1898" width="0.85546875" style="2" customWidth="1"/>
    <col min="1899" max="1899" width="14.7109375" style="2" customWidth="1"/>
    <col min="1900" max="1900" width="20" style="2" customWidth="1"/>
    <col min="1901" max="1901" width="0.85546875" style="2" customWidth="1"/>
    <col min="1902" max="1903" width="14.7109375" style="2" customWidth="1"/>
    <col min="1904" max="1904" width="0.85546875" style="2" customWidth="1"/>
    <col min="1905" max="1906" width="14.7109375" style="2" customWidth="1"/>
    <col min="1907" max="1907" width="0.85546875" style="2" customWidth="1"/>
    <col min="1908" max="1908" width="14.7109375" style="2" customWidth="1"/>
    <col min="1909" max="1909" width="0.85546875" style="2" customWidth="1"/>
    <col min="1910" max="1911" width="6.7109375" style="2" customWidth="1"/>
    <col min="1912" max="1912" width="7.7109375" style="2" bestFit="1" customWidth="1"/>
    <col min="1913" max="1914" width="6.7109375" style="2" customWidth="1"/>
    <col min="1915" max="2149" width="11.42578125" style="2"/>
    <col min="2150" max="2150" width="4" style="2" customWidth="1"/>
    <col min="2151" max="2151" width="24.7109375" style="2" customWidth="1"/>
    <col min="2152" max="2152" width="0.85546875" style="2" customWidth="1"/>
    <col min="2153" max="2153" width="10.7109375" style="2" customWidth="1"/>
    <col min="2154" max="2154" width="0.85546875" style="2" customWidth="1"/>
    <col min="2155" max="2155" width="14.7109375" style="2" customWidth="1"/>
    <col min="2156" max="2156" width="20" style="2" customWidth="1"/>
    <col min="2157" max="2157" width="0.85546875" style="2" customWidth="1"/>
    <col min="2158" max="2159" width="14.7109375" style="2" customWidth="1"/>
    <col min="2160" max="2160" width="0.85546875" style="2" customWidth="1"/>
    <col min="2161" max="2162" width="14.7109375" style="2" customWidth="1"/>
    <col min="2163" max="2163" width="0.85546875" style="2" customWidth="1"/>
    <col min="2164" max="2164" width="14.7109375" style="2" customWidth="1"/>
    <col min="2165" max="2165" width="0.85546875" style="2" customWidth="1"/>
    <col min="2166" max="2167" width="6.7109375" style="2" customWidth="1"/>
    <col min="2168" max="2168" width="7.7109375" style="2" bestFit="1" customWidth="1"/>
    <col min="2169" max="2170" width="6.7109375" style="2" customWidth="1"/>
    <col min="2171" max="2405" width="11.42578125" style="2"/>
    <col min="2406" max="2406" width="4" style="2" customWidth="1"/>
    <col min="2407" max="2407" width="24.7109375" style="2" customWidth="1"/>
    <col min="2408" max="2408" width="0.85546875" style="2" customWidth="1"/>
    <col min="2409" max="2409" width="10.7109375" style="2" customWidth="1"/>
    <col min="2410" max="2410" width="0.85546875" style="2" customWidth="1"/>
    <col min="2411" max="2411" width="14.7109375" style="2" customWidth="1"/>
    <col min="2412" max="2412" width="20" style="2" customWidth="1"/>
    <col min="2413" max="2413" width="0.85546875" style="2" customWidth="1"/>
    <col min="2414" max="2415" width="14.7109375" style="2" customWidth="1"/>
    <col min="2416" max="2416" width="0.85546875" style="2" customWidth="1"/>
    <col min="2417" max="2418" width="14.7109375" style="2" customWidth="1"/>
    <col min="2419" max="2419" width="0.85546875" style="2" customWidth="1"/>
    <col min="2420" max="2420" width="14.7109375" style="2" customWidth="1"/>
    <col min="2421" max="2421" width="0.85546875" style="2" customWidth="1"/>
    <col min="2422" max="2423" width="6.7109375" style="2" customWidth="1"/>
    <col min="2424" max="2424" width="7.7109375" style="2" bestFit="1" customWidth="1"/>
    <col min="2425" max="2426" width="6.7109375" style="2" customWidth="1"/>
    <col min="2427" max="2661" width="11.42578125" style="2"/>
    <col min="2662" max="2662" width="4" style="2" customWidth="1"/>
    <col min="2663" max="2663" width="24.7109375" style="2" customWidth="1"/>
    <col min="2664" max="2664" width="0.85546875" style="2" customWidth="1"/>
    <col min="2665" max="2665" width="10.7109375" style="2" customWidth="1"/>
    <col min="2666" max="2666" width="0.85546875" style="2" customWidth="1"/>
    <col min="2667" max="2667" width="14.7109375" style="2" customWidth="1"/>
    <col min="2668" max="2668" width="20" style="2" customWidth="1"/>
    <col min="2669" max="2669" width="0.85546875" style="2" customWidth="1"/>
    <col min="2670" max="2671" width="14.7109375" style="2" customWidth="1"/>
    <col min="2672" max="2672" width="0.85546875" style="2" customWidth="1"/>
    <col min="2673" max="2674" width="14.7109375" style="2" customWidth="1"/>
    <col min="2675" max="2675" width="0.85546875" style="2" customWidth="1"/>
    <col min="2676" max="2676" width="14.7109375" style="2" customWidth="1"/>
    <col min="2677" max="2677" width="0.85546875" style="2" customWidth="1"/>
    <col min="2678" max="2679" width="6.7109375" style="2" customWidth="1"/>
    <col min="2680" max="2680" width="7.7109375" style="2" bestFit="1" customWidth="1"/>
    <col min="2681" max="2682" width="6.7109375" style="2" customWidth="1"/>
    <col min="2683" max="2917" width="11.42578125" style="2"/>
    <col min="2918" max="2918" width="4" style="2" customWidth="1"/>
    <col min="2919" max="2919" width="24.7109375" style="2" customWidth="1"/>
    <col min="2920" max="2920" width="0.85546875" style="2" customWidth="1"/>
    <col min="2921" max="2921" width="10.7109375" style="2" customWidth="1"/>
    <col min="2922" max="2922" width="0.85546875" style="2" customWidth="1"/>
    <col min="2923" max="2923" width="14.7109375" style="2" customWidth="1"/>
    <col min="2924" max="2924" width="20" style="2" customWidth="1"/>
    <col min="2925" max="2925" width="0.85546875" style="2" customWidth="1"/>
    <col min="2926" max="2927" width="14.7109375" style="2" customWidth="1"/>
    <col min="2928" max="2928" width="0.85546875" style="2" customWidth="1"/>
    <col min="2929" max="2930" width="14.7109375" style="2" customWidth="1"/>
    <col min="2931" max="2931" width="0.85546875" style="2" customWidth="1"/>
    <col min="2932" max="2932" width="14.7109375" style="2" customWidth="1"/>
    <col min="2933" max="2933" width="0.85546875" style="2" customWidth="1"/>
    <col min="2934" max="2935" width="6.7109375" style="2" customWidth="1"/>
    <col min="2936" max="2936" width="7.7109375" style="2" bestFit="1" customWidth="1"/>
    <col min="2937" max="2938" width="6.7109375" style="2" customWidth="1"/>
    <col min="2939" max="3173" width="11.42578125" style="2"/>
    <col min="3174" max="3174" width="4" style="2" customWidth="1"/>
    <col min="3175" max="3175" width="24.7109375" style="2" customWidth="1"/>
    <col min="3176" max="3176" width="0.85546875" style="2" customWidth="1"/>
    <col min="3177" max="3177" width="10.7109375" style="2" customWidth="1"/>
    <col min="3178" max="3178" width="0.85546875" style="2" customWidth="1"/>
    <col min="3179" max="3179" width="14.7109375" style="2" customWidth="1"/>
    <col min="3180" max="3180" width="20" style="2" customWidth="1"/>
    <col min="3181" max="3181" width="0.85546875" style="2" customWidth="1"/>
    <col min="3182" max="3183" width="14.7109375" style="2" customWidth="1"/>
    <col min="3184" max="3184" width="0.85546875" style="2" customWidth="1"/>
    <col min="3185" max="3186" width="14.7109375" style="2" customWidth="1"/>
    <col min="3187" max="3187" width="0.85546875" style="2" customWidth="1"/>
    <col min="3188" max="3188" width="14.7109375" style="2" customWidth="1"/>
    <col min="3189" max="3189" width="0.85546875" style="2" customWidth="1"/>
    <col min="3190" max="3191" width="6.7109375" style="2" customWidth="1"/>
    <col min="3192" max="3192" width="7.7109375" style="2" bestFit="1" customWidth="1"/>
    <col min="3193" max="3194" width="6.7109375" style="2" customWidth="1"/>
    <col min="3195" max="3429" width="11.42578125" style="2"/>
    <col min="3430" max="3430" width="4" style="2" customWidth="1"/>
    <col min="3431" max="3431" width="24.7109375" style="2" customWidth="1"/>
    <col min="3432" max="3432" width="0.85546875" style="2" customWidth="1"/>
    <col min="3433" max="3433" width="10.7109375" style="2" customWidth="1"/>
    <col min="3434" max="3434" width="0.85546875" style="2" customWidth="1"/>
    <col min="3435" max="3435" width="14.7109375" style="2" customWidth="1"/>
    <col min="3436" max="3436" width="20" style="2" customWidth="1"/>
    <col min="3437" max="3437" width="0.85546875" style="2" customWidth="1"/>
    <col min="3438" max="3439" width="14.7109375" style="2" customWidth="1"/>
    <col min="3440" max="3440" width="0.85546875" style="2" customWidth="1"/>
    <col min="3441" max="3442" width="14.7109375" style="2" customWidth="1"/>
    <col min="3443" max="3443" width="0.85546875" style="2" customWidth="1"/>
    <col min="3444" max="3444" width="14.7109375" style="2" customWidth="1"/>
    <col min="3445" max="3445" width="0.85546875" style="2" customWidth="1"/>
    <col min="3446" max="3447" width="6.7109375" style="2" customWidth="1"/>
    <col min="3448" max="3448" width="7.7109375" style="2" bestFit="1" customWidth="1"/>
    <col min="3449" max="3450" width="6.7109375" style="2" customWidth="1"/>
    <col min="3451" max="3685" width="11.42578125" style="2"/>
    <col min="3686" max="3686" width="4" style="2" customWidth="1"/>
    <col min="3687" max="3687" width="24.7109375" style="2" customWidth="1"/>
    <col min="3688" max="3688" width="0.85546875" style="2" customWidth="1"/>
    <col min="3689" max="3689" width="10.7109375" style="2" customWidth="1"/>
    <col min="3690" max="3690" width="0.85546875" style="2" customWidth="1"/>
    <col min="3691" max="3691" width="14.7109375" style="2" customWidth="1"/>
    <col min="3692" max="3692" width="20" style="2" customWidth="1"/>
    <col min="3693" max="3693" width="0.85546875" style="2" customWidth="1"/>
    <col min="3694" max="3695" width="14.7109375" style="2" customWidth="1"/>
    <col min="3696" max="3696" width="0.85546875" style="2" customWidth="1"/>
    <col min="3697" max="3698" width="14.7109375" style="2" customWidth="1"/>
    <col min="3699" max="3699" width="0.85546875" style="2" customWidth="1"/>
    <col min="3700" max="3700" width="14.7109375" style="2" customWidth="1"/>
    <col min="3701" max="3701" width="0.85546875" style="2" customWidth="1"/>
    <col min="3702" max="3703" width="6.7109375" style="2" customWidth="1"/>
    <col min="3704" max="3704" width="7.7109375" style="2" bestFit="1" customWidth="1"/>
    <col min="3705" max="3706" width="6.7109375" style="2" customWidth="1"/>
    <col min="3707" max="3941" width="11.42578125" style="2"/>
    <col min="3942" max="3942" width="4" style="2" customWidth="1"/>
    <col min="3943" max="3943" width="24.7109375" style="2" customWidth="1"/>
    <col min="3944" max="3944" width="0.85546875" style="2" customWidth="1"/>
    <col min="3945" max="3945" width="10.7109375" style="2" customWidth="1"/>
    <col min="3946" max="3946" width="0.85546875" style="2" customWidth="1"/>
    <col min="3947" max="3947" width="14.7109375" style="2" customWidth="1"/>
    <col min="3948" max="3948" width="20" style="2" customWidth="1"/>
    <col min="3949" max="3949" width="0.85546875" style="2" customWidth="1"/>
    <col min="3950" max="3951" width="14.7109375" style="2" customWidth="1"/>
    <col min="3952" max="3952" width="0.85546875" style="2" customWidth="1"/>
    <col min="3953" max="3954" width="14.7109375" style="2" customWidth="1"/>
    <col min="3955" max="3955" width="0.85546875" style="2" customWidth="1"/>
    <col min="3956" max="3956" width="14.7109375" style="2" customWidth="1"/>
    <col min="3957" max="3957" width="0.85546875" style="2" customWidth="1"/>
    <col min="3958" max="3959" width="6.7109375" style="2" customWidth="1"/>
    <col min="3960" max="3960" width="7.7109375" style="2" bestFit="1" customWidth="1"/>
    <col min="3961" max="3962" width="6.7109375" style="2" customWidth="1"/>
    <col min="3963" max="4197" width="11.42578125" style="2"/>
    <col min="4198" max="4198" width="4" style="2" customWidth="1"/>
    <col min="4199" max="4199" width="24.7109375" style="2" customWidth="1"/>
    <col min="4200" max="4200" width="0.85546875" style="2" customWidth="1"/>
    <col min="4201" max="4201" width="10.7109375" style="2" customWidth="1"/>
    <col min="4202" max="4202" width="0.85546875" style="2" customWidth="1"/>
    <col min="4203" max="4203" width="14.7109375" style="2" customWidth="1"/>
    <col min="4204" max="4204" width="20" style="2" customWidth="1"/>
    <col min="4205" max="4205" width="0.85546875" style="2" customWidth="1"/>
    <col min="4206" max="4207" width="14.7109375" style="2" customWidth="1"/>
    <col min="4208" max="4208" width="0.85546875" style="2" customWidth="1"/>
    <col min="4209" max="4210" width="14.7109375" style="2" customWidth="1"/>
    <col min="4211" max="4211" width="0.85546875" style="2" customWidth="1"/>
    <col min="4212" max="4212" width="14.7109375" style="2" customWidth="1"/>
    <col min="4213" max="4213" width="0.85546875" style="2" customWidth="1"/>
    <col min="4214" max="4215" width="6.7109375" style="2" customWidth="1"/>
    <col min="4216" max="4216" width="7.7109375" style="2" bestFit="1" customWidth="1"/>
    <col min="4217" max="4218" width="6.7109375" style="2" customWidth="1"/>
    <col min="4219" max="4453" width="11.42578125" style="2"/>
    <col min="4454" max="4454" width="4" style="2" customWidth="1"/>
    <col min="4455" max="4455" width="24.7109375" style="2" customWidth="1"/>
    <col min="4456" max="4456" width="0.85546875" style="2" customWidth="1"/>
    <col min="4457" max="4457" width="10.7109375" style="2" customWidth="1"/>
    <col min="4458" max="4458" width="0.85546875" style="2" customWidth="1"/>
    <col min="4459" max="4459" width="14.7109375" style="2" customWidth="1"/>
    <col min="4460" max="4460" width="20" style="2" customWidth="1"/>
    <col min="4461" max="4461" width="0.85546875" style="2" customWidth="1"/>
    <col min="4462" max="4463" width="14.7109375" style="2" customWidth="1"/>
    <col min="4464" max="4464" width="0.85546875" style="2" customWidth="1"/>
    <col min="4465" max="4466" width="14.7109375" style="2" customWidth="1"/>
    <col min="4467" max="4467" width="0.85546875" style="2" customWidth="1"/>
    <col min="4468" max="4468" width="14.7109375" style="2" customWidth="1"/>
    <col min="4469" max="4469" width="0.85546875" style="2" customWidth="1"/>
    <col min="4470" max="4471" width="6.7109375" style="2" customWidth="1"/>
    <col min="4472" max="4472" width="7.7109375" style="2" bestFit="1" customWidth="1"/>
    <col min="4473" max="4474" width="6.7109375" style="2" customWidth="1"/>
    <col min="4475" max="4709" width="11.42578125" style="2"/>
    <col min="4710" max="4710" width="4" style="2" customWidth="1"/>
    <col min="4711" max="4711" width="24.7109375" style="2" customWidth="1"/>
    <col min="4712" max="4712" width="0.85546875" style="2" customWidth="1"/>
    <col min="4713" max="4713" width="10.7109375" style="2" customWidth="1"/>
    <col min="4714" max="4714" width="0.85546875" style="2" customWidth="1"/>
    <col min="4715" max="4715" width="14.7109375" style="2" customWidth="1"/>
    <col min="4716" max="4716" width="20" style="2" customWidth="1"/>
    <col min="4717" max="4717" width="0.85546875" style="2" customWidth="1"/>
    <col min="4718" max="4719" width="14.7109375" style="2" customWidth="1"/>
    <col min="4720" max="4720" width="0.85546875" style="2" customWidth="1"/>
    <col min="4721" max="4722" width="14.7109375" style="2" customWidth="1"/>
    <col min="4723" max="4723" width="0.85546875" style="2" customWidth="1"/>
    <col min="4724" max="4724" width="14.7109375" style="2" customWidth="1"/>
    <col min="4725" max="4725" width="0.85546875" style="2" customWidth="1"/>
    <col min="4726" max="4727" width="6.7109375" style="2" customWidth="1"/>
    <col min="4728" max="4728" width="7.7109375" style="2" bestFit="1" customWidth="1"/>
    <col min="4729" max="4730" width="6.7109375" style="2" customWidth="1"/>
    <col min="4731" max="4965" width="11.42578125" style="2"/>
    <col min="4966" max="4966" width="4" style="2" customWidth="1"/>
    <col min="4967" max="4967" width="24.7109375" style="2" customWidth="1"/>
    <col min="4968" max="4968" width="0.85546875" style="2" customWidth="1"/>
    <col min="4969" max="4969" width="10.7109375" style="2" customWidth="1"/>
    <col min="4970" max="4970" width="0.85546875" style="2" customWidth="1"/>
    <col min="4971" max="4971" width="14.7109375" style="2" customWidth="1"/>
    <col min="4972" max="4972" width="20" style="2" customWidth="1"/>
    <col min="4973" max="4973" width="0.85546875" style="2" customWidth="1"/>
    <col min="4974" max="4975" width="14.7109375" style="2" customWidth="1"/>
    <col min="4976" max="4976" width="0.85546875" style="2" customWidth="1"/>
    <col min="4977" max="4978" width="14.7109375" style="2" customWidth="1"/>
    <col min="4979" max="4979" width="0.85546875" style="2" customWidth="1"/>
    <col min="4980" max="4980" width="14.7109375" style="2" customWidth="1"/>
    <col min="4981" max="4981" width="0.85546875" style="2" customWidth="1"/>
    <col min="4982" max="4983" width="6.7109375" style="2" customWidth="1"/>
    <col min="4984" max="4984" width="7.7109375" style="2" bestFit="1" customWidth="1"/>
    <col min="4985" max="4986" width="6.7109375" style="2" customWidth="1"/>
    <col min="4987" max="5221" width="11.42578125" style="2"/>
    <col min="5222" max="5222" width="4" style="2" customWidth="1"/>
    <col min="5223" max="5223" width="24.7109375" style="2" customWidth="1"/>
    <col min="5224" max="5224" width="0.85546875" style="2" customWidth="1"/>
    <col min="5225" max="5225" width="10.7109375" style="2" customWidth="1"/>
    <col min="5226" max="5226" width="0.85546875" style="2" customWidth="1"/>
    <col min="5227" max="5227" width="14.7109375" style="2" customWidth="1"/>
    <col min="5228" max="5228" width="20" style="2" customWidth="1"/>
    <col min="5229" max="5229" width="0.85546875" style="2" customWidth="1"/>
    <col min="5230" max="5231" width="14.7109375" style="2" customWidth="1"/>
    <col min="5232" max="5232" width="0.85546875" style="2" customWidth="1"/>
    <col min="5233" max="5234" width="14.7109375" style="2" customWidth="1"/>
    <col min="5235" max="5235" width="0.85546875" style="2" customWidth="1"/>
    <col min="5236" max="5236" width="14.7109375" style="2" customWidth="1"/>
    <col min="5237" max="5237" width="0.85546875" style="2" customWidth="1"/>
    <col min="5238" max="5239" width="6.7109375" style="2" customWidth="1"/>
    <col min="5240" max="5240" width="7.7109375" style="2" bestFit="1" customWidth="1"/>
    <col min="5241" max="5242" width="6.7109375" style="2" customWidth="1"/>
    <col min="5243" max="5477" width="11.42578125" style="2"/>
    <col min="5478" max="5478" width="4" style="2" customWidth="1"/>
    <col min="5479" max="5479" width="24.7109375" style="2" customWidth="1"/>
    <col min="5480" max="5480" width="0.85546875" style="2" customWidth="1"/>
    <col min="5481" max="5481" width="10.7109375" style="2" customWidth="1"/>
    <col min="5482" max="5482" width="0.85546875" style="2" customWidth="1"/>
    <col min="5483" max="5483" width="14.7109375" style="2" customWidth="1"/>
    <col min="5484" max="5484" width="20" style="2" customWidth="1"/>
    <col min="5485" max="5485" width="0.85546875" style="2" customWidth="1"/>
    <col min="5486" max="5487" width="14.7109375" style="2" customWidth="1"/>
    <col min="5488" max="5488" width="0.85546875" style="2" customWidth="1"/>
    <col min="5489" max="5490" width="14.7109375" style="2" customWidth="1"/>
    <col min="5491" max="5491" width="0.85546875" style="2" customWidth="1"/>
    <col min="5492" max="5492" width="14.7109375" style="2" customWidth="1"/>
    <col min="5493" max="5493" width="0.85546875" style="2" customWidth="1"/>
    <col min="5494" max="5495" width="6.7109375" style="2" customWidth="1"/>
    <col min="5496" max="5496" width="7.7109375" style="2" bestFit="1" customWidth="1"/>
    <col min="5497" max="5498" width="6.7109375" style="2" customWidth="1"/>
    <col min="5499" max="5733" width="11.42578125" style="2"/>
    <col min="5734" max="5734" width="4" style="2" customWidth="1"/>
    <col min="5735" max="5735" width="24.7109375" style="2" customWidth="1"/>
    <col min="5736" max="5736" width="0.85546875" style="2" customWidth="1"/>
    <col min="5737" max="5737" width="10.7109375" style="2" customWidth="1"/>
    <col min="5738" max="5738" width="0.85546875" style="2" customWidth="1"/>
    <col min="5739" max="5739" width="14.7109375" style="2" customWidth="1"/>
    <col min="5740" max="5740" width="20" style="2" customWidth="1"/>
    <col min="5741" max="5741" width="0.85546875" style="2" customWidth="1"/>
    <col min="5742" max="5743" width="14.7109375" style="2" customWidth="1"/>
    <col min="5744" max="5744" width="0.85546875" style="2" customWidth="1"/>
    <col min="5745" max="5746" width="14.7109375" style="2" customWidth="1"/>
    <col min="5747" max="5747" width="0.85546875" style="2" customWidth="1"/>
    <col min="5748" max="5748" width="14.7109375" style="2" customWidth="1"/>
    <col min="5749" max="5749" width="0.85546875" style="2" customWidth="1"/>
    <col min="5750" max="5751" width="6.7109375" style="2" customWidth="1"/>
    <col min="5752" max="5752" width="7.7109375" style="2" bestFit="1" customWidth="1"/>
    <col min="5753" max="5754" width="6.7109375" style="2" customWidth="1"/>
    <col min="5755" max="5989" width="11.42578125" style="2"/>
    <col min="5990" max="5990" width="4" style="2" customWidth="1"/>
    <col min="5991" max="5991" width="24.7109375" style="2" customWidth="1"/>
    <col min="5992" max="5992" width="0.85546875" style="2" customWidth="1"/>
    <col min="5993" max="5993" width="10.7109375" style="2" customWidth="1"/>
    <col min="5994" max="5994" width="0.85546875" style="2" customWidth="1"/>
    <col min="5995" max="5995" width="14.7109375" style="2" customWidth="1"/>
    <col min="5996" max="5996" width="20" style="2" customWidth="1"/>
    <col min="5997" max="5997" width="0.85546875" style="2" customWidth="1"/>
    <col min="5998" max="5999" width="14.7109375" style="2" customWidth="1"/>
    <col min="6000" max="6000" width="0.85546875" style="2" customWidth="1"/>
    <col min="6001" max="6002" width="14.7109375" style="2" customWidth="1"/>
    <col min="6003" max="6003" width="0.85546875" style="2" customWidth="1"/>
    <col min="6004" max="6004" width="14.7109375" style="2" customWidth="1"/>
    <col min="6005" max="6005" width="0.85546875" style="2" customWidth="1"/>
    <col min="6006" max="6007" width="6.7109375" style="2" customWidth="1"/>
    <col min="6008" max="6008" width="7.7109375" style="2" bestFit="1" customWidth="1"/>
    <col min="6009" max="6010" width="6.7109375" style="2" customWidth="1"/>
    <col min="6011" max="6245" width="11.42578125" style="2"/>
    <col min="6246" max="6246" width="4" style="2" customWidth="1"/>
    <col min="6247" max="6247" width="24.7109375" style="2" customWidth="1"/>
    <col min="6248" max="6248" width="0.85546875" style="2" customWidth="1"/>
    <col min="6249" max="6249" width="10.7109375" style="2" customWidth="1"/>
    <col min="6250" max="6250" width="0.85546875" style="2" customWidth="1"/>
    <col min="6251" max="6251" width="14.7109375" style="2" customWidth="1"/>
    <col min="6252" max="6252" width="20" style="2" customWidth="1"/>
    <col min="6253" max="6253" width="0.85546875" style="2" customWidth="1"/>
    <col min="6254" max="6255" width="14.7109375" style="2" customWidth="1"/>
    <col min="6256" max="6256" width="0.85546875" style="2" customWidth="1"/>
    <col min="6257" max="6258" width="14.7109375" style="2" customWidth="1"/>
    <col min="6259" max="6259" width="0.85546875" style="2" customWidth="1"/>
    <col min="6260" max="6260" width="14.7109375" style="2" customWidth="1"/>
    <col min="6261" max="6261" width="0.85546875" style="2" customWidth="1"/>
    <col min="6262" max="6263" width="6.7109375" style="2" customWidth="1"/>
    <col min="6264" max="6264" width="7.7109375" style="2" bestFit="1" customWidth="1"/>
    <col min="6265" max="6266" width="6.7109375" style="2" customWidth="1"/>
    <col min="6267" max="6501" width="11.42578125" style="2"/>
    <col min="6502" max="6502" width="4" style="2" customWidth="1"/>
    <col min="6503" max="6503" width="24.7109375" style="2" customWidth="1"/>
    <col min="6504" max="6504" width="0.85546875" style="2" customWidth="1"/>
    <col min="6505" max="6505" width="10.7109375" style="2" customWidth="1"/>
    <col min="6506" max="6506" width="0.85546875" style="2" customWidth="1"/>
    <col min="6507" max="6507" width="14.7109375" style="2" customWidth="1"/>
    <col min="6508" max="6508" width="20" style="2" customWidth="1"/>
    <col min="6509" max="6509" width="0.85546875" style="2" customWidth="1"/>
    <col min="6510" max="6511" width="14.7109375" style="2" customWidth="1"/>
    <col min="6512" max="6512" width="0.85546875" style="2" customWidth="1"/>
    <col min="6513" max="6514" width="14.7109375" style="2" customWidth="1"/>
    <col min="6515" max="6515" width="0.85546875" style="2" customWidth="1"/>
    <col min="6516" max="6516" width="14.7109375" style="2" customWidth="1"/>
    <col min="6517" max="6517" width="0.85546875" style="2" customWidth="1"/>
    <col min="6518" max="6519" width="6.7109375" style="2" customWidth="1"/>
    <col min="6520" max="6520" width="7.7109375" style="2" bestFit="1" customWidth="1"/>
    <col min="6521" max="6522" width="6.7109375" style="2" customWidth="1"/>
    <col min="6523" max="6757" width="11.42578125" style="2"/>
    <col min="6758" max="6758" width="4" style="2" customWidth="1"/>
    <col min="6759" max="6759" width="24.7109375" style="2" customWidth="1"/>
    <col min="6760" max="6760" width="0.85546875" style="2" customWidth="1"/>
    <col min="6761" max="6761" width="10.7109375" style="2" customWidth="1"/>
    <col min="6762" max="6762" width="0.85546875" style="2" customWidth="1"/>
    <col min="6763" max="6763" width="14.7109375" style="2" customWidth="1"/>
    <col min="6764" max="6764" width="20" style="2" customWidth="1"/>
    <col min="6765" max="6765" width="0.85546875" style="2" customWidth="1"/>
    <col min="6766" max="6767" width="14.7109375" style="2" customWidth="1"/>
    <col min="6768" max="6768" width="0.85546875" style="2" customWidth="1"/>
    <col min="6769" max="6770" width="14.7109375" style="2" customWidth="1"/>
    <col min="6771" max="6771" width="0.85546875" style="2" customWidth="1"/>
    <col min="6772" max="6772" width="14.7109375" style="2" customWidth="1"/>
    <col min="6773" max="6773" width="0.85546875" style="2" customWidth="1"/>
    <col min="6774" max="6775" width="6.7109375" style="2" customWidth="1"/>
    <col min="6776" max="6776" width="7.7109375" style="2" bestFit="1" customWidth="1"/>
    <col min="6777" max="6778" width="6.7109375" style="2" customWidth="1"/>
    <col min="6779" max="7013" width="11.42578125" style="2"/>
    <col min="7014" max="7014" width="4" style="2" customWidth="1"/>
    <col min="7015" max="7015" width="24.7109375" style="2" customWidth="1"/>
    <col min="7016" max="7016" width="0.85546875" style="2" customWidth="1"/>
    <col min="7017" max="7017" width="10.7109375" style="2" customWidth="1"/>
    <col min="7018" max="7018" width="0.85546875" style="2" customWidth="1"/>
    <col min="7019" max="7019" width="14.7109375" style="2" customWidth="1"/>
    <col min="7020" max="7020" width="20" style="2" customWidth="1"/>
    <col min="7021" max="7021" width="0.85546875" style="2" customWidth="1"/>
    <col min="7022" max="7023" width="14.7109375" style="2" customWidth="1"/>
    <col min="7024" max="7024" width="0.85546875" style="2" customWidth="1"/>
    <col min="7025" max="7026" width="14.7109375" style="2" customWidth="1"/>
    <col min="7027" max="7027" width="0.85546875" style="2" customWidth="1"/>
    <col min="7028" max="7028" width="14.7109375" style="2" customWidth="1"/>
    <col min="7029" max="7029" width="0.85546875" style="2" customWidth="1"/>
    <col min="7030" max="7031" width="6.7109375" style="2" customWidth="1"/>
    <col min="7032" max="7032" width="7.7109375" style="2" bestFit="1" customWidth="1"/>
    <col min="7033" max="7034" width="6.7109375" style="2" customWidth="1"/>
    <col min="7035" max="7269" width="11.42578125" style="2"/>
    <col min="7270" max="7270" width="4" style="2" customWidth="1"/>
    <col min="7271" max="7271" width="24.7109375" style="2" customWidth="1"/>
    <col min="7272" max="7272" width="0.85546875" style="2" customWidth="1"/>
    <col min="7273" max="7273" width="10.7109375" style="2" customWidth="1"/>
    <col min="7274" max="7274" width="0.85546875" style="2" customWidth="1"/>
    <col min="7275" max="7275" width="14.7109375" style="2" customWidth="1"/>
    <col min="7276" max="7276" width="20" style="2" customWidth="1"/>
    <col min="7277" max="7277" width="0.85546875" style="2" customWidth="1"/>
    <col min="7278" max="7279" width="14.7109375" style="2" customWidth="1"/>
    <col min="7280" max="7280" width="0.85546875" style="2" customWidth="1"/>
    <col min="7281" max="7282" width="14.7109375" style="2" customWidth="1"/>
    <col min="7283" max="7283" width="0.85546875" style="2" customWidth="1"/>
    <col min="7284" max="7284" width="14.7109375" style="2" customWidth="1"/>
    <col min="7285" max="7285" width="0.85546875" style="2" customWidth="1"/>
    <col min="7286" max="7287" width="6.7109375" style="2" customWidth="1"/>
    <col min="7288" max="7288" width="7.7109375" style="2" bestFit="1" customWidth="1"/>
    <col min="7289" max="7290" width="6.7109375" style="2" customWidth="1"/>
    <col min="7291" max="7525" width="11.42578125" style="2"/>
    <col min="7526" max="7526" width="4" style="2" customWidth="1"/>
    <col min="7527" max="7527" width="24.7109375" style="2" customWidth="1"/>
    <col min="7528" max="7528" width="0.85546875" style="2" customWidth="1"/>
    <col min="7529" max="7529" width="10.7109375" style="2" customWidth="1"/>
    <col min="7530" max="7530" width="0.85546875" style="2" customWidth="1"/>
    <col min="7531" max="7531" width="14.7109375" style="2" customWidth="1"/>
    <col min="7532" max="7532" width="20" style="2" customWidth="1"/>
    <col min="7533" max="7533" width="0.85546875" style="2" customWidth="1"/>
    <col min="7534" max="7535" width="14.7109375" style="2" customWidth="1"/>
    <col min="7536" max="7536" width="0.85546875" style="2" customWidth="1"/>
    <col min="7537" max="7538" width="14.7109375" style="2" customWidth="1"/>
    <col min="7539" max="7539" width="0.85546875" style="2" customWidth="1"/>
    <col min="7540" max="7540" width="14.7109375" style="2" customWidth="1"/>
    <col min="7541" max="7541" width="0.85546875" style="2" customWidth="1"/>
    <col min="7542" max="7543" width="6.7109375" style="2" customWidth="1"/>
    <col min="7544" max="7544" width="7.7109375" style="2" bestFit="1" customWidth="1"/>
    <col min="7545" max="7546" width="6.7109375" style="2" customWidth="1"/>
    <col min="7547" max="7781" width="11.42578125" style="2"/>
    <col min="7782" max="7782" width="4" style="2" customWidth="1"/>
    <col min="7783" max="7783" width="24.7109375" style="2" customWidth="1"/>
    <col min="7784" max="7784" width="0.85546875" style="2" customWidth="1"/>
    <col min="7785" max="7785" width="10.7109375" style="2" customWidth="1"/>
    <col min="7786" max="7786" width="0.85546875" style="2" customWidth="1"/>
    <col min="7787" max="7787" width="14.7109375" style="2" customWidth="1"/>
    <col min="7788" max="7788" width="20" style="2" customWidth="1"/>
    <col min="7789" max="7789" width="0.85546875" style="2" customWidth="1"/>
    <col min="7790" max="7791" width="14.7109375" style="2" customWidth="1"/>
    <col min="7792" max="7792" width="0.85546875" style="2" customWidth="1"/>
    <col min="7793" max="7794" width="14.7109375" style="2" customWidth="1"/>
    <col min="7795" max="7795" width="0.85546875" style="2" customWidth="1"/>
    <col min="7796" max="7796" width="14.7109375" style="2" customWidth="1"/>
    <col min="7797" max="7797" width="0.85546875" style="2" customWidth="1"/>
    <col min="7798" max="7799" width="6.7109375" style="2" customWidth="1"/>
    <col min="7800" max="7800" width="7.7109375" style="2" bestFit="1" customWidth="1"/>
    <col min="7801" max="7802" width="6.7109375" style="2" customWidth="1"/>
    <col min="7803" max="8037" width="11.42578125" style="2"/>
    <col min="8038" max="8038" width="4" style="2" customWidth="1"/>
    <col min="8039" max="8039" width="24.7109375" style="2" customWidth="1"/>
    <col min="8040" max="8040" width="0.85546875" style="2" customWidth="1"/>
    <col min="8041" max="8041" width="10.7109375" style="2" customWidth="1"/>
    <col min="8042" max="8042" width="0.85546875" style="2" customWidth="1"/>
    <col min="8043" max="8043" width="14.7109375" style="2" customWidth="1"/>
    <col min="8044" max="8044" width="20" style="2" customWidth="1"/>
    <col min="8045" max="8045" width="0.85546875" style="2" customWidth="1"/>
    <col min="8046" max="8047" width="14.7109375" style="2" customWidth="1"/>
    <col min="8048" max="8048" width="0.85546875" style="2" customWidth="1"/>
    <col min="8049" max="8050" width="14.7109375" style="2" customWidth="1"/>
    <col min="8051" max="8051" width="0.85546875" style="2" customWidth="1"/>
    <col min="8052" max="8052" width="14.7109375" style="2" customWidth="1"/>
    <col min="8053" max="8053" width="0.85546875" style="2" customWidth="1"/>
    <col min="8054" max="8055" width="6.7109375" style="2" customWidth="1"/>
    <col min="8056" max="8056" width="7.7109375" style="2" bestFit="1" customWidth="1"/>
    <col min="8057" max="8058" width="6.7109375" style="2" customWidth="1"/>
    <col min="8059" max="8293" width="11.42578125" style="2"/>
    <col min="8294" max="8294" width="4" style="2" customWidth="1"/>
    <col min="8295" max="8295" width="24.7109375" style="2" customWidth="1"/>
    <col min="8296" max="8296" width="0.85546875" style="2" customWidth="1"/>
    <col min="8297" max="8297" width="10.7109375" style="2" customWidth="1"/>
    <col min="8298" max="8298" width="0.85546875" style="2" customWidth="1"/>
    <col min="8299" max="8299" width="14.7109375" style="2" customWidth="1"/>
    <col min="8300" max="8300" width="20" style="2" customWidth="1"/>
    <col min="8301" max="8301" width="0.85546875" style="2" customWidth="1"/>
    <col min="8302" max="8303" width="14.7109375" style="2" customWidth="1"/>
    <col min="8304" max="8304" width="0.85546875" style="2" customWidth="1"/>
    <col min="8305" max="8306" width="14.7109375" style="2" customWidth="1"/>
    <col min="8307" max="8307" width="0.85546875" style="2" customWidth="1"/>
    <col min="8308" max="8308" width="14.7109375" style="2" customWidth="1"/>
    <col min="8309" max="8309" width="0.85546875" style="2" customWidth="1"/>
    <col min="8310" max="8311" width="6.7109375" style="2" customWidth="1"/>
    <col min="8312" max="8312" width="7.7109375" style="2" bestFit="1" customWidth="1"/>
    <col min="8313" max="8314" width="6.7109375" style="2" customWidth="1"/>
    <col min="8315" max="8549" width="11.42578125" style="2"/>
    <col min="8550" max="8550" width="4" style="2" customWidth="1"/>
    <col min="8551" max="8551" width="24.7109375" style="2" customWidth="1"/>
    <col min="8552" max="8552" width="0.85546875" style="2" customWidth="1"/>
    <col min="8553" max="8553" width="10.7109375" style="2" customWidth="1"/>
    <col min="8554" max="8554" width="0.85546875" style="2" customWidth="1"/>
    <col min="8555" max="8555" width="14.7109375" style="2" customWidth="1"/>
    <col min="8556" max="8556" width="20" style="2" customWidth="1"/>
    <col min="8557" max="8557" width="0.85546875" style="2" customWidth="1"/>
    <col min="8558" max="8559" width="14.7109375" style="2" customWidth="1"/>
    <col min="8560" max="8560" width="0.85546875" style="2" customWidth="1"/>
    <col min="8561" max="8562" width="14.7109375" style="2" customWidth="1"/>
    <col min="8563" max="8563" width="0.85546875" style="2" customWidth="1"/>
    <col min="8564" max="8564" width="14.7109375" style="2" customWidth="1"/>
    <col min="8565" max="8565" width="0.85546875" style="2" customWidth="1"/>
    <col min="8566" max="8567" width="6.7109375" style="2" customWidth="1"/>
    <col min="8568" max="8568" width="7.7109375" style="2" bestFit="1" customWidth="1"/>
    <col min="8569" max="8570" width="6.7109375" style="2" customWidth="1"/>
    <col min="8571" max="8805" width="11.42578125" style="2"/>
    <col min="8806" max="8806" width="4" style="2" customWidth="1"/>
    <col min="8807" max="8807" width="24.7109375" style="2" customWidth="1"/>
    <col min="8808" max="8808" width="0.85546875" style="2" customWidth="1"/>
    <col min="8809" max="8809" width="10.7109375" style="2" customWidth="1"/>
    <col min="8810" max="8810" width="0.85546875" style="2" customWidth="1"/>
    <col min="8811" max="8811" width="14.7109375" style="2" customWidth="1"/>
    <col min="8812" max="8812" width="20" style="2" customWidth="1"/>
    <col min="8813" max="8813" width="0.85546875" style="2" customWidth="1"/>
    <col min="8814" max="8815" width="14.7109375" style="2" customWidth="1"/>
    <col min="8816" max="8816" width="0.85546875" style="2" customWidth="1"/>
    <col min="8817" max="8818" width="14.7109375" style="2" customWidth="1"/>
    <col min="8819" max="8819" width="0.85546875" style="2" customWidth="1"/>
    <col min="8820" max="8820" width="14.7109375" style="2" customWidth="1"/>
    <col min="8821" max="8821" width="0.85546875" style="2" customWidth="1"/>
    <col min="8822" max="8823" width="6.7109375" style="2" customWidth="1"/>
    <col min="8824" max="8824" width="7.7109375" style="2" bestFit="1" customWidth="1"/>
    <col min="8825" max="8826" width="6.7109375" style="2" customWidth="1"/>
    <col min="8827" max="9061" width="11.42578125" style="2"/>
    <col min="9062" max="9062" width="4" style="2" customWidth="1"/>
    <col min="9063" max="9063" width="24.7109375" style="2" customWidth="1"/>
    <col min="9064" max="9064" width="0.85546875" style="2" customWidth="1"/>
    <col min="9065" max="9065" width="10.7109375" style="2" customWidth="1"/>
    <col min="9066" max="9066" width="0.85546875" style="2" customWidth="1"/>
    <col min="9067" max="9067" width="14.7109375" style="2" customWidth="1"/>
    <col min="9068" max="9068" width="20" style="2" customWidth="1"/>
    <col min="9069" max="9069" width="0.85546875" style="2" customWidth="1"/>
    <col min="9070" max="9071" width="14.7109375" style="2" customWidth="1"/>
    <col min="9072" max="9072" width="0.85546875" style="2" customWidth="1"/>
    <col min="9073" max="9074" width="14.7109375" style="2" customWidth="1"/>
    <col min="9075" max="9075" width="0.85546875" style="2" customWidth="1"/>
    <col min="9076" max="9076" width="14.7109375" style="2" customWidth="1"/>
    <col min="9077" max="9077" width="0.85546875" style="2" customWidth="1"/>
    <col min="9078" max="9079" width="6.7109375" style="2" customWidth="1"/>
    <col min="9080" max="9080" width="7.7109375" style="2" bestFit="1" customWidth="1"/>
    <col min="9081" max="9082" width="6.7109375" style="2" customWidth="1"/>
    <col min="9083" max="9317" width="11.42578125" style="2"/>
    <col min="9318" max="9318" width="4" style="2" customWidth="1"/>
    <col min="9319" max="9319" width="24.7109375" style="2" customWidth="1"/>
    <col min="9320" max="9320" width="0.85546875" style="2" customWidth="1"/>
    <col min="9321" max="9321" width="10.7109375" style="2" customWidth="1"/>
    <col min="9322" max="9322" width="0.85546875" style="2" customWidth="1"/>
    <col min="9323" max="9323" width="14.7109375" style="2" customWidth="1"/>
    <col min="9324" max="9324" width="20" style="2" customWidth="1"/>
    <col min="9325" max="9325" width="0.85546875" style="2" customWidth="1"/>
    <col min="9326" max="9327" width="14.7109375" style="2" customWidth="1"/>
    <col min="9328" max="9328" width="0.85546875" style="2" customWidth="1"/>
    <col min="9329" max="9330" width="14.7109375" style="2" customWidth="1"/>
    <col min="9331" max="9331" width="0.85546875" style="2" customWidth="1"/>
    <col min="9332" max="9332" width="14.7109375" style="2" customWidth="1"/>
    <col min="9333" max="9333" width="0.85546875" style="2" customWidth="1"/>
    <col min="9334" max="9335" width="6.7109375" style="2" customWidth="1"/>
    <col min="9336" max="9336" width="7.7109375" style="2" bestFit="1" customWidth="1"/>
    <col min="9337" max="9338" width="6.7109375" style="2" customWidth="1"/>
    <col min="9339" max="9573" width="11.42578125" style="2"/>
    <col min="9574" max="9574" width="4" style="2" customWidth="1"/>
    <col min="9575" max="9575" width="24.7109375" style="2" customWidth="1"/>
    <col min="9576" max="9576" width="0.85546875" style="2" customWidth="1"/>
    <col min="9577" max="9577" width="10.7109375" style="2" customWidth="1"/>
    <col min="9578" max="9578" width="0.85546875" style="2" customWidth="1"/>
    <col min="9579" max="9579" width="14.7109375" style="2" customWidth="1"/>
    <col min="9580" max="9580" width="20" style="2" customWidth="1"/>
    <col min="9581" max="9581" width="0.85546875" style="2" customWidth="1"/>
    <col min="9582" max="9583" width="14.7109375" style="2" customWidth="1"/>
    <col min="9584" max="9584" width="0.85546875" style="2" customWidth="1"/>
    <col min="9585" max="9586" width="14.7109375" style="2" customWidth="1"/>
    <col min="9587" max="9587" width="0.85546875" style="2" customWidth="1"/>
    <col min="9588" max="9588" width="14.7109375" style="2" customWidth="1"/>
    <col min="9589" max="9589" width="0.85546875" style="2" customWidth="1"/>
    <col min="9590" max="9591" width="6.7109375" style="2" customWidth="1"/>
    <col min="9592" max="9592" width="7.7109375" style="2" bestFit="1" customWidth="1"/>
    <col min="9593" max="9594" width="6.7109375" style="2" customWidth="1"/>
    <col min="9595" max="9829" width="11.42578125" style="2"/>
    <col min="9830" max="9830" width="4" style="2" customWidth="1"/>
    <col min="9831" max="9831" width="24.7109375" style="2" customWidth="1"/>
    <col min="9832" max="9832" width="0.85546875" style="2" customWidth="1"/>
    <col min="9833" max="9833" width="10.7109375" style="2" customWidth="1"/>
    <col min="9834" max="9834" width="0.85546875" style="2" customWidth="1"/>
    <col min="9835" max="9835" width="14.7109375" style="2" customWidth="1"/>
    <col min="9836" max="9836" width="20" style="2" customWidth="1"/>
    <col min="9837" max="9837" width="0.85546875" style="2" customWidth="1"/>
    <col min="9838" max="9839" width="14.7109375" style="2" customWidth="1"/>
    <col min="9840" max="9840" width="0.85546875" style="2" customWidth="1"/>
    <col min="9841" max="9842" width="14.7109375" style="2" customWidth="1"/>
    <col min="9843" max="9843" width="0.85546875" style="2" customWidth="1"/>
    <col min="9844" max="9844" width="14.7109375" style="2" customWidth="1"/>
    <col min="9845" max="9845" width="0.85546875" style="2" customWidth="1"/>
    <col min="9846" max="9847" width="6.7109375" style="2" customWidth="1"/>
    <col min="9848" max="9848" width="7.7109375" style="2" bestFit="1" customWidth="1"/>
    <col min="9849" max="9850" width="6.7109375" style="2" customWidth="1"/>
    <col min="9851" max="10085" width="11.42578125" style="2"/>
    <col min="10086" max="10086" width="4" style="2" customWidth="1"/>
    <col min="10087" max="10087" width="24.7109375" style="2" customWidth="1"/>
    <col min="10088" max="10088" width="0.85546875" style="2" customWidth="1"/>
    <col min="10089" max="10089" width="10.7109375" style="2" customWidth="1"/>
    <col min="10090" max="10090" width="0.85546875" style="2" customWidth="1"/>
    <col min="10091" max="10091" width="14.7109375" style="2" customWidth="1"/>
    <col min="10092" max="10092" width="20" style="2" customWidth="1"/>
    <col min="10093" max="10093" width="0.85546875" style="2" customWidth="1"/>
    <col min="10094" max="10095" width="14.7109375" style="2" customWidth="1"/>
    <col min="10096" max="10096" width="0.85546875" style="2" customWidth="1"/>
    <col min="10097" max="10098" width="14.7109375" style="2" customWidth="1"/>
    <col min="10099" max="10099" width="0.85546875" style="2" customWidth="1"/>
    <col min="10100" max="10100" width="14.7109375" style="2" customWidth="1"/>
    <col min="10101" max="10101" width="0.85546875" style="2" customWidth="1"/>
    <col min="10102" max="10103" width="6.7109375" style="2" customWidth="1"/>
    <col min="10104" max="10104" width="7.7109375" style="2" bestFit="1" customWidth="1"/>
    <col min="10105" max="10106" width="6.7109375" style="2" customWidth="1"/>
    <col min="10107" max="10341" width="11.42578125" style="2"/>
    <col min="10342" max="10342" width="4" style="2" customWidth="1"/>
    <col min="10343" max="10343" width="24.7109375" style="2" customWidth="1"/>
    <col min="10344" max="10344" width="0.85546875" style="2" customWidth="1"/>
    <col min="10345" max="10345" width="10.7109375" style="2" customWidth="1"/>
    <col min="10346" max="10346" width="0.85546875" style="2" customWidth="1"/>
    <col min="10347" max="10347" width="14.7109375" style="2" customWidth="1"/>
    <col min="10348" max="10348" width="20" style="2" customWidth="1"/>
    <col min="10349" max="10349" width="0.85546875" style="2" customWidth="1"/>
    <col min="10350" max="10351" width="14.7109375" style="2" customWidth="1"/>
    <col min="10352" max="10352" width="0.85546875" style="2" customWidth="1"/>
    <col min="10353" max="10354" width="14.7109375" style="2" customWidth="1"/>
    <col min="10355" max="10355" width="0.85546875" style="2" customWidth="1"/>
    <col min="10356" max="10356" width="14.7109375" style="2" customWidth="1"/>
    <col min="10357" max="10357" width="0.85546875" style="2" customWidth="1"/>
    <col min="10358" max="10359" width="6.7109375" style="2" customWidth="1"/>
    <col min="10360" max="10360" width="7.7109375" style="2" bestFit="1" customWidth="1"/>
    <col min="10361" max="10362" width="6.7109375" style="2" customWidth="1"/>
    <col min="10363" max="10597" width="11.42578125" style="2"/>
    <col min="10598" max="10598" width="4" style="2" customWidth="1"/>
    <col min="10599" max="10599" width="24.7109375" style="2" customWidth="1"/>
    <col min="10600" max="10600" width="0.85546875" style="2" customWidth="1"/>
    <col min="10601" max="10601" width="10.7109375" style="2" customWidth="1"/>
    <col min="10602" max="10602" width="0.85546875" style="2" customWidth="1"/>
    <col min="10603" max="10603" width="14.7109375" style="2" customWidth="1"/>
    <col min="10604" max="10604" width="20" style="2" customWidth="1"/>
    <col min="10605" max="10605" width="0.85546875" style="2" customWidth="1"/>
    <col min="10606" max="10607" width="14.7109375" style="2" customWidth="1"/>
    <col min="10608" max="10608" width="0.85546875" style="2" customWidth="1"/>
    <col min="10609" max="10610" width="14.7109375" style="2" customWidth="1"/>
    <col min="10611" max="10611" width="0.85546875" style="2" customWidth="1"/>
    <col min="10612" max="10612" width="14.7109375" style="2" customWidth="1"/>
    <col min="10613" max="10613" width="0.85546875" style="2" customWidth="1"/>
    <col min="10614" max="10615" width="6.7109375" style="2" customWidth="1"/>
    <col min="10616" max="10616" width="7.7109375" style="2" bestFit="1" customWidth="1"/>
    <col min="10617" max="10618" width="6.7109375" style="2" customWidth="1"/>
    <col min="10619" max="10853" width="11.42578125" style="2"/>
    <col min="10854" max="10854" width="4" style="2" customWidth="1"/>
    <col min="10855" max="10855" width="24.7109375" style="2" customWidth="1"/>
    <col min="10856" max="10856" width="0.85546875" style="2" customWidth="1"/>
    <col min="10857" max="10857" width="10.7109375" style="2" customWidth="1"/>
    <col min="10858" max="10858" width="0.85546875" style="2" customWidth="1"/>
    <col min="10859" max="10859" width="14.7109375" style="2" customWidth="1"/>
    <col min="10860" max="10860" width="20" style="2" customWidth="1"/>
    <col min="10861" max="10861" width="0.85546875" style="2" customWidth="1"/>
    <col min="10862" max="10863" width="14.7109375" style="2" customWidth="1"/>
    <col min="10864" max="10864" width="0.85546875" style="2" customWidth="1"/>
    <col min="10865" max="10866" width="14.7109375" style="2" customWidth="1"/>
    <col min="10867" max="10867" width="0.85546875" style="2" customWidth="1"/>
    <col min="10868" max="10868" width="14.7109375" style="2" customWidth="1"/>
    <col min="10869" max="10869" width="0.85546875" style="2" customWidth="1"/>
    <col min="10870" max="10871" width="6.7109375" style="2" customWidth="1"/>
    <col min="10872" max="10872" width="7.7109375" style="2" bestFit="1" customWidth="1"/>
    <col min="10873" max="10874" width="6.7109375" style="2" customWidth="1"/>
    <col min="10875" max="11109" width="11.42578125" style="2"/>
    <col min="11110" max="11110" width="4" style="2" customWidth="1"/>
    <col min="11111" max="11111" width="24.7109375" style="2" customWidth="1"/>
    <col min="11112" max="11112" width="0.85546875" style="2" customWidth="1"/>
    <col min="11113" max="11113" width="10.7109375" style="2" customWidth="1"/>
    <col min="11114" max="11114" width="0.85546875" style="2" customWidth="1"/>
    <col min="11115" max="11115" width="14.7109375" style="2" customWidth="1"/>
    <col min="11116" max="11116" width="20" style="2" customWidth="1"/>
    <col min="11117" max="11117" width="0.85546875" style="2" customWidth="1"/>
    <col min="11118" max="11119" width="14.7109375" style="2" customWidth="1"/>
    <col min="11120" max="11120" width="0.85546875" style="2" customWidth="1"/>
    <col min="11121" max="11122" width="14.7109375" style="2" customWidth="1"/>
    <col min="11123" max="11123" width="0.85546875" style="2" customWidth="1"/>
    <col min="11124" max="11124" width="14.7109375" style="2" customWidth="1"/>
    <col min="11125" max="11125" width="0.85546875" style="2" customWidth="1"/>
    <col min="11126" max="11127" width="6.7109375" style="2" customWidth="1"/>
    <col min="11128" max="11128" width="7.7109375" style="2" bestFit="1" customWidth="1"/>
    <col min="11129" max="11130" width="6.7109375" style="2" customWidth="1"/>
    <col min="11131" max="11365" width="11.42578125" style="2"/>
    <col min="11366" max="11366" width="4" style="2" customWidth="1"/>
    <col min="11367" max="11367" width="24.7109375" style="2" customWidth="1"/>
    <col min="11368" max="11368" width="0.85546875" style="2" customWidth="1"/>
    <col min="11369" max="11369" width="10.7109375" style="2" customWidth="1"/>
    <col min="11370" max="11370" width="0.85546875" style="2" customWidth="1"/>
    <col min="11371" max="11371" width="14.7109375" style="2" customWidth="1"/>
    <col min="11372" max="11372" width="20" style="2" customWidth="1"/>
    <col min="11373" max="11373" width="0.85546875" style="2" customWidth="1"/>
    <col min="11374" max="11375" width="14.7109375" style="2" customWidth="1"/>
    <col min="11376" max="11376" width="0.85546875" style="2" customWidth="1"/>
    <col min="11377" max="11378" width="14.7109375" style="2" customWidth="1"/>
    <col min="11379" max="11379" width="0.85546875" style="2" customWidth="1"/>
    <col min="11380" max="11380" width="14.7109375" style="2" customWidth="1"/>
    <col min="11381" max="11381" width="0.85546875" style="2" customWidth="1"/>
    <col min="11382" max="11383" width="6.7109375" style="2" customWidth="1"/>
    <col min="11384" max="11384" width="7.7109375" style="2" bestFit="1" customWidth="1"/>
    <col min="11385" max="11386" width="6.7109375" style="2" customWidth="1"/>
    <col min="11387" max="11621" width="11.42578125" style="2"/>
    <col min="11622" max="11622" width="4" style="2" customWidth="1"/>
    <col min="11623" max="11623" width="24.7109375" style="2" customWidth="1"/>
    <col min="11624" max="11624" width="0.85546875" style="2" customWidth="1"/>
    <col min="11625" max="11625" width="10.7109375" style="2" customWidth="1"/>
    <col min="11626" max="11626" width="0.85546875" style="2" customWidth="1"/>
    <col min="11627" max="11627" width="14.7109375" style="2" customWidth="1"/>
    <col min="11628" max="11628" width="20" style="2" customWidth="1"/>
    <col min="11629" max="11629" width="0.85546875" style="2" customWidth="1"/>
    <col min="11630" max="11631" width="14.7109375" style="2" customWidth="1"/>
    <col min="11632" max="11632" width="0.85546875" style="2" customWidth="1"/>
    <col min="11633" max="11634" width="14.7109375" style="2" customWidth="1"/>
    <col min="11635" max="11635" width="0.85546875" style="2" customWidth="1"/>
    <col min="11636" max="11636" width="14.7109375" style="2" customWidth="1"/>
    <col min="11637" max="11637" width="0.85546875" style="2" customWidth="1"/>
    <col min="11638" max="11639" width="6.7109375" style="2" customWidth="1"/>
    <col min="11640" max="11640" width="7.7109375" style="2" bestFit="1" customWidth="1"/>
    <col min="11641" max="11642" width="6.7109375" style="2" customWidth="1"/>
    <col min="11643" max="11877" width="11.42578125" style="2"/>
    <col min="11878" max="11878" width="4" style="2" customWidth="1"/>
    <col min="11879" max="11879" width="24.7109375" style="2" customWidth="1"/>
    <col min="11880" max="11880" width="0.85546875" style="2" customWidth="1"/>
    <col min="11881" max="11881" width="10.7109375" style="2" customWidth="1"/>
    <col min="11882" max="11882" width="0.85546875" style="2" customWidth="1"/>
    <col min="11883" max="11883" width="14.7109375" style="2" customWidth="1"/>
    <col min="11884" max="11884" width="20" style="2" customWidth="1"/>
    <col min="11885" max="11885" width="0.85546875" style="2" customWidth="1"/>
    <col min="11886" max="11887" width="14.7109375" style="2" customWidth="1"/>
    <col min="11888" max="11888" width="0.85546875" style="2" customWidth="1"/>
    <col min="11889" max="11890" width="14.7109375" style="2" customWidth="1"/>
    <col min="11891" max="11891" width="0.85546875" style="2" customWidth="1"/>
    <col min="11892" max="11892" width="14.7109375" style="2" customWidth="1"/>
    <col min="11893" max="11893" width="0.85546875" style="2" customWidth="1"/>
    <col min="11894" max="11895" width="6.7109375" style="2" customWidth="1"/>
    <col min="11896" max="11896" width="7.7109375" style="2" bestFit="1" customWidth="1"/>
    <col min="11897" max="11898" width="6.7109375" style="2" customWidth="1"/>
    <col min="11899" max="12133" width="11.42578125" style="2"/>
    <col min="12134" max="12134" width="4" style="2" customWidth="1"/>
    <col min="12135" max="12135" width="24.7109375" style="2" customWidth="1"/>
    <col min="12136" max="12136" width="0.85546875" style="2" customWidth="1"/>
    <col min="12137" max="12137" width="10.7109375" style="2" customWidth="1"/>
    <col min="12138" max="12138" width="0.85546875" style="2" customWidth="1"/>
    <col min="12139" max="12139" width="14.7109375" style="2" customWidth="1"/>
    <col min="12140" max="12140" width="20" style="2" customWidth="1"/>
    <col min="12141" max="12141" width="0.85546875" style="2" customWidth="1"/>
    <col min="12142" max="12143" width="14.7109375" style="2" customWidth="1"/>
    <col min="12144" max="12144" width="0.85546875" style="2" customWidth="1"/>
    <col min="12145" max="12146" width="14.7109375" style="2" customWidth="1"/>
    <col min="12147" max="12147" width="0.85546875" style="2" customWidth="1"/>
    <col min="12148" max="12148" width="14.7109375" style="2" customWidth="1"/>
    <col min="12149" max="12149" width="0.85546875" style="2" customWidth="1"/>
    <col min="12150" max="12151" width="6.7109375" style="2" customWidth="1"/>
    <col min="12152" max="12152" width="7.7109375" style="2" bestFit="1" customWidth="1"/>
    <col min="12153" max="12154" width="6.7109375" style="2" customWidth="1"/>
    <col min="12155" max="12389" width="11.42578125" style="2"/>
    <col min="12390" max="12390" width="4" style="2" customWidth="1"/>
    <col min="12391" max="12391" width="24.7109375" style="2" customWidth="1"/>
    <col min="12392" max="12392" width="0.85546875" style="2" customWidth="1"/>
    <col min="12393" max="12393" width="10.7109375" style="2" customWidth="1"/>
    <col min="12394" max="12394" width="0.85546875" style="2" customWidth="1"/>
    <col min="12395" max="12395" width="14.7109375" style="2" customWidth="1"/>
    <col min="12396" max="12396" width="20" style="2" customWidth="1"/>
    <col min="12397" max="12397" width="0.85546875" style="2" customWidth="1"/>
    <col min="12398" max="12399" width="14.7109375" style="2" customWidth="1"/>
    <col min="12400" max="12400" width="0.85546875" style="2" customWidth="1"/>
    <col min="12401" max="12402" width="14.7109375" style="2" customWidth="1"/>
    <col min="12403" max="12403" width="0.85546875" style="2" customWidth="1"/>
    <col min="12404" max="12404" width="14.7109375" style="2" customWidth="1"/>
    <col min="12405" max="12405" width="0.85546875" style="2" customWidth="1"/>
    <col min="12406" max="12407" width="6.7109375" style="2" customWidth="1"/>
    <col min="12408" max="12408" width="7.7109375" style="2" bestFit="1" customWidth="1"/>
    <col min="12409" max="12410" width="6.7109375" style="2" customWidth="1"/>
    <col min="12411" max="12645" width="11.42578125" style="2"/>
    <col min="12646" max="12646" width="4" style="2" customWidth="1"/>
    <col min="12647" max="12647" width="24.7109375" style="2" customWidth="1"/>
    <col min="12648" max="12648" width="0.85546875" style="2" customWidth="1"/>
    <col min="12649" max="12649" width="10.7109375" style="2" customWidth="1"/>
    <col min="12650" max="12650" width="0.85546875" style="2" customWidth="1"/>
    <col min="12651" max="12651" width="14.7109375" style="2" customWidth="1"/>
    <col min="12652" max="12652" width="20" style="2" customWidth="1"/>
    <col min="12653" max="12653" width="0.85546875" style="2" customWidth="1"/>
    <col min="12654" max="12655" width="14.7109375" style="2" customWidth="1"/>
    <col min="12656" max="12656" width="0.85546875" style="2" customWidth="1"/>
    <col min="12657" max="12658" width="14.7109375" style="2" customWidth="1"/>
    <col min="12659" max="12659" width="0.85546875" style="2" customWidth="1"/>
    <col min="12660" max="12660" width="14.7109375" style="2" customWidth="1"/>
    <col min="12661" max="12661" width="0.85546875" style="2" customWidth="1"/>
    <col min="12662" max="12663" width="6.7109375" style="2" customWidth="1"/>
    <col min="12664" max="12664" width="7.7109375" style="2" bestFit="1" customWidth="1"/>
    <col min="12665" max="12666" width="6.7109375" style="2" customWidth="1"/>
    <col min="12667" max="12901" width="11.42578125" style="2"/>
    <col min="12902" max="12902" width="4" style="2" customWidth="1"/>
    <col min="12903" max="12903" width="24.7109375" style="2" customWidth="1"/>
    <col min="12904" max="12904" width="0.85546875" style="2" customWidth="1"/>
    <col min="12905" max="12905" width="10.7109375" style="2" customWidth="1"/>
    <col min="12906" max="12906" width="0.85546875" style="2" customWidth="1"/>
    <col min="12907" max="12907" width="14.7109375" style="2" customWidth="1"/>
    <col min="12908" max="12908" width="20" style="2" customWidth="1"/>
    <col min="12909" max="12909" width="0.85546875" style="2" customWidth="1"/>
    <col min="12910" max="12911" width="14.7109375" style="2" customWidth="1"/>
    <col min="12912" max="12912" width="0.85546875" style="2" customWidth="1"/>
    <col min="12913" max="12914" width="14.7109375" style="2" customWidth="1"/>
    <col min="12915" max="12915" width="0.85546875" style="2" customWidth="1"/>
    <col min="12916" max="12916" width="14.7109375" style="2" customWidth="1"/>
    <col min="12917" max="12917" width="0.85546875" style="2" customWidth="1"/>
    <col min="12918" max="12919" width="6.7109375" style="2" customWidth="1"/>
    <col min="12920" max="12920" width="7.7109375" style="2" bestFit="1" customWidth="1"/>
    <col min="12921" max="12922" width="6.7109375" style="2" customWidth="1"/>
    <col min="12923" max="13157" width="11.42578125" style="2"/>
    <col min="13158" max="13158" width="4" style="2" customWidth="1"/>
    <col min="13159" max="13159" width="24.7109375" style="2" customWidth="1"/>
    <col min="13160" max="13160" width="0.85546875" style="2" customWidth="1"/>
    <col min="13161" max="13161" width="10.7109375" style="2" customWidth="1"/>
    <col min="13162" max="13162" width="0.85546875" style="2" customWidth="1"/>
    <col min="13163" max="13163" width="14.7109375" style="2" customWidth="1"/>
    <col min="13164" max="13164" width="20" style="2" customWidth="1"/>
    <col min="13165" max="13165" width="0.85546875" style="2" customWidth="1"/>
    <col min="13166" max="13167" width="14.7109375" style="2" customWidth="1"/>
    <col min="13168" max="13168" width="0.85546875" style="2" customWidth="1"/>
    <col min="13169" max="13170" width="14.7109375" style="2" customWidth="1"/>
    <col min="13171" max="13171" width="0.85546875" style="2" customWidth="1"/>
    <col min="13172" max="13172" width="14.7109375" style="2" customWidth="1"/>
    <col min="13173" max="13173" width="0.85546875" style="2" customWidth="1"/>
    <col min="13174" max="13175" width="6.7109375" style="2" customWidth="1"/>
    <col min="13176" max="13176" width="7.7109375" style="2" bestFit="1" customWidth="1"/>
    <col min="13177" max="13178" width="6.7109375" style="2" customWidth="1"/>
    <col min="13179" max="13413" width="11.42578125" style="2"/>
    <col min="13414" max="13414" width="4" style="2" customWidth="1"/>
    <col min="13415" max="13415" width="24.7109375" style="2" customWidth="1"/>
    <col min="13416" max="13416" width="0.85546875" style="2" customWidth="1"/>
    <col min="13417" max="13417" width="10.7109375" style="2" customWidth="1"/>
    <col min="13418" max="13418" width="0.85546875" style="2" customWidth="1"/>
    <col min="13419" max="13419" width="14.7109375" style="2" customWidth="1"/>
    <col min="13420" max="13420" width="20" style="2" customWidth="1"/>
    <col min="13421" max="13421" width="0.85546875" style="2" customWidth="1"/>
    <col min="13422" max="13423" width="14.7109375" style="2" customWidth="1"/>
    <col min="13424" max="13424" width="0.85546875" style="2" customWidth="1"/>
    <col min="13425" max="13426" width="14.7109375" style="2" customWidth="1"/>
    <col min="13427" max="13427" width="0.85546875" style="2" customWidth="1"/>
    <col min="13428" max="13428" width="14.7109375" style="2" customWidth="1"/>
    <col min="13429" max="13429" width="0.85546875" style="2" customWidth="1"/>
    <col min="13430" max="13431" width="6.7109375" style="2" customWidth="1"/>
    <col min="13432" max="13432" width="7.7109375" style="2" bestFit="1" customWidth="1"/>
    <col min="13433" max="13434" width="6.7109375" style="2" customWidth="1"/>
    <col min="13435" max="13669" width="11.42578125" style="2"/>
    <col min="13670" max="13670" width="4" style="2" customWidth="1"/>
    <col min="13671" max="13671" width="24.7109375" style="2" customWidth="1"/>
    <col min="13672" max="13672" width="0.85546875" style="2" customWidth="1"/>
    <col min="13673" max="13673" width="10.7109375" style="2" customWidth="1"/>
    <col min="13674" max="13674" width="0.85546875" style="2" customWidth="1"/>
    <col min="13675" max="13675" width="14.7109375" style="2" customWidth="1"/>
    <col min="13676" max="13676" width="20" style="2" customWidth="1"/>
    <col min="13677" max="13677" width="0.85546875" style="2" customWidth="1"/>
    <col min="13678" max="13679" width="14.7109375" style="2" customWidth="1"/>
    <col min="13680" max="13680" width="0.85546875" style="2" customWidth="1"/>
    <col min="13681" max="13682" width="14.7109375" style="2" customWidth="1"/>
    <col min="13683" max="13683" width="0.85546875" style="2" customWidth="1"/>
    <col min="13684" max="13684" width="14.7109375" style="2" customWidth="1"/>
    <col min="13685" max="13685" width="0.85546875" style="2" customWidth="1"/>
    <col min="13686" max="13687" width="6.7109375" style="2" customWidth="1"/>
    <col min="13688" max="13688" width="7.7109375" style="2" bestFit="1" customWidth="1"/>
    <col min="13689" max="13690" width="6.7109375" style="2" customWidth="1"/>
    <col min="13691" max="13925" width="11.42578125" style="2"/>
    <col min="13926" max="13926" width="4" style="2" customWidth="1"/>
    <col min="13927" max="13927" width="24.7109375" style="2" customWidth="1"/>
    <col min="13928" max="13928" width="0.85546875" style="2" customWidth="1"/>
    <col min="13929" max="13929" width="10.7109375" style="2" customWidth="1"/>
    <col min="13930" max="13930" width="0.85546875" style="2" customWidth="1"/>
    <col min="13931" max="13931" width="14.7109375" style="2" customWidth="1"/>
    <col min="13932" max="13932" width="20" style="2" customWidth="1"/>
    <col min="13933" max="13933" width="0.85546875" style="2" customWidth="1"/>
    <col min="13934" max="13935" width="14.7109375" style="2" customWidth="1"/>
    <col min="13936" max="13936" width="0.85546875" style="2" customWidth="1"/>
    <col min="13937" max="13938" width="14.7109375" style="2" customWidth="1"/>
    <col min="13939" max="13939" width="0.85546875" style="2" customWidth="1"/>
    <col min="13940" max="13940" width="14.7109375" style="2" customWidth="1"/>
    <col min="13941" max="13941" width="0.85546875" style="2" customWidth="1"/>
    <col min="13942" max="13943" width="6.7109375" style="2" customWidth="1"/>
    <col min="13944" max="13944" width="7.7109375" style="2" bestFit="1" customWidth="1"/>
    <col min="13945" max="13946" width="6.7109375" style="2" customWidth="1"/>
    <col min="13947" max="14181" width="11.42578125" style="2"/>
    <col min="14182" max="14182" width="4" style="2" customWidth="1"/>
    <col min="14183" max="14183" width="24.7109375" style="2" customWidth="1"/>
    <col min="14184" max="14184" width="0.85546875" style="2" customWidth="1"/>
    <col min="14185" max="14185" width="10.7109375" style="2" customWidth="1"/>
    <col min="14186" max="14186" width="0.85546875" style="2" customWidth="1"/>
    <col min="14187" max="14187" width="14.7109375" style="2" customWidth="1"/>
    <col min="14188" max="14188" width="20" style="2" customWidth="1"/>
    <col min="14189" max="14189" width="0.85546875" style="2" customWidth="1"/>
    <col min="14190" max="14191" width="14.7109375" style="2" customWidth="1"/>
    <col min="14192" max="14192" width="0.85546875" style="2" customWidth="1"/>
    <col min="14193" max="14194" width="14.7109375" style="2" customWidth="1"/>
    <col min="14195" max="14195" width="0.85546875" style="2" customWidth="1"/>
    <col min="14196" max="14196" width="14.7109375" style="2" customWidth="1"/>
    <col min="14197" max="14197" width="0.85546875" style="2" customWidth="1"/>
    <col min="14198" max="14199" width="6.7109375" style="2" customWidth="1"/>
    <col min="14200" max="14200" width="7.7109375" style="2" bestFit="1" customWidth="1"/>
    <col min="14201" max="14202" width="6.7109375" style="2" customWidth="1"/>
    <col min="14203" max="14437" width="11.42578125" style="2"/>
    <col min="14438" max="14438" width="4" style="2" customWidth="1"/>
    <col min="14439" max="14439" width="24.7109375" style="2" customWidth="1"/>
    <col min="14440" max="14440" width="0.85546875" style="2" customWidth="1"/>
    <col min="14441" max="14441" width="10.7109375" style="2" customWidth="1"/>
    <col min="14442" max="14442" width="0.85546875" style="2" customWidth="1"/>
    <col min="14443" max="14443" width="14.7109375" style="2" customWidth="1"/>
    <col min="14444" max="14444" width="20" style="2" customWidth="1"/>
    <col min="14445" max="14445" width="0.85546875" style="2" customWidth="1"/>
    <col min="14446" max="14447" width="14.7109375" style="2" customWidth="1"/>
    <col min="14448" max="14448" width="0.85546875" style="2" customWidth="1"/>
    <col min="14449" max="14450" width="14.7109375" style="2" customWidth="1"/>
    <col min="14451" max="14451" width="0.85546875" style="2" customWidth="1"/>
    <col min="14452" max="14452" width="14.7109375" style="2" customWidth="1"/>
    <col min="14453" max="14453" width="0.85546875" style="2" customWidth="1"/>
    <col min="14454" max="14455" width="6.7109375" style="2" customWidth="1"/>
    <col min="14456" max="14456" width="7.7109375" style="2" bestFit="1" customWidth="1"/>
    <col min="14457" max="14458" width="6.7109375" style="2" customWidth="1"/>
    <col min="14459" max="14693" width="11.42578125" style="2"/>
    <col min="14694" max="14694" width="4" style="2" customWidth="1"/>
    <col min="14695" max="14695" width="24.7109375" style="2" customWidth="1"/>
    <col min="14696" max="14696" width="0.85546875" style="2" customWidth="1"/>
    <col min="14697" max="14697" width="10.7109375" style="2" customWidth="1"/>
    <col min="14698" max="14698" width="0.85546875" style="2" customWidth="1"/>
    <col min="14699" max="14699" width="14.7109375" style="2" customWidth="1"/>
    <col min="14700" max="14700" width="20" style="2" customWidth="1"/>
    <col min="14701" max="14701" width="0.85546875" style="2" customWidth="1"/>
    <col min="14702" max="14703" width="14.7109375" style="2" customWidth="1"/>
    <col min="14704" max="14704" width="0.85546875" style="2" customWidth="1"/>
    <col min="14705" max="14706" width="14.7109375" style="2" customWidth="1"/>
    <col min="14707" max="14707" width="0.85546875" style="2" customWidth="1"/>
    <col min="14708" max="14708" width="14.7109375" style="2" customWidth="1"/>
    <col min="14709" max="14709" width="0.85546875" style="2" customWidth="1"/>
    <col min="14710" max="14711" width="6.7109375" style="2" customWidth="1"/>
    <col min="14712" max="14712" width="7.7109375" style="2" bestFit="1" customWidth="1"/>
    <col min="14713" max="14714" width="6.7109375" style="2" customWidth="1"/>
    <col min="14715" max="14949" width="11.42578125" style="2"/>
    <col min="14950" max="14950" width="4" style="2" customWidth="1"/>
    <col min="14951" max="14951" width="24.7109375" style="2" customWidth="1"/>
    <col min="14952" max="14952" width="0.85546875" style="2" customWidth="1"/>
    <col min="14953" max="14953" width="10.7109375" style="2" customWidth="1"/>
    <col min="14954" max="14954" width="0.85546875" style="2" customWidth="1"/>
    <col min="14955" max="14955" width="14.7109375" style="2" customWidth="1"/>
    <col min="14956" max="14956" width="20" style="2" customWidth="1"/>
    <col min="14957" max="14957" width="0.85546875" style="2" customWidth="1"/>
    <col min="14958" max="14959" width="14.7109375" style="2" customWidth="1"/>
    <col min="14960" max="14960" width="0.85546875" style="2" customWidth="1"/>
    <col min="14961" max="14962" width="14.7109375" style="2" customWidth="1"/>
    <col min="14963" max="14963" width="0.85546875" style="2" customWidth="1"/>
    <col min="14964" max="14964" width="14.7109375" style="2" customWidth="1"/>
    <col min="14965" max="14965" width="0.85546875" style="2" customWidth="1"/>
    <col min="14966" max="14967" width="6.7109375" style="2" customWidth="1"/>
    <col min="14968" max="14968" width="7.7109375" style="2" bestFit="1" customWidth="1"/>
    <col min="14969" max="14970" width="6.7109375" style="2" customWidth="1"/>
    <col min="14971" max="15205" width="11.42578125" style="2"/>
    <col min="15206" max="15206" width="4" style="2" customWidth="1"/>
    <col min="15207" max="15207" width="24.7109375" style="2" customWidth="1"/>
    <col min="15208" max="15208" width="0.85546875" style="2" customWidth="1"/>
    <col min="15209" max="15209" width="10.7109375" style="2" customWidth="1"/>
    <col min="15210" max="15210" width="0.85546875" style="2" customWidth="1"/>
    <col min="15211" max="15211" width="14.7109375" style="2" customWidth="1"/>
    <col min="15212" max="15212" width="20" style="2" customWidth="1"/>
    <col min="15213" max="15213" width="0.85546875" style="2" customWidth="1"/>
    <col min="15214" max="15215" width="14.7109375" style="2" customWidth="1"/>
    <col min="15216" max="15216" width="0.85546875" style="2" customWidth="1"/>
    <col min="15217" max="15218" width="14.7109375" style="2" customWidth="1"/>
    <col min="15219" max="15219" width="0.85546875" style="2" customWidth="1"/>
    <col min="15220" max="15220" width="14.7109375" style="2" customWidth="1"/>
    <col min="15221" max="15221" width="0.85546875" style="2" customWidth="1"/>
    <col min="15222" max="15223" width="6.7109375" style="2" customWidth="1"/>
    <col min="15224" max="15224" width="7.7109375" style="2" bestFit="1" customWidth="1"/>
    <col min="15225" max="15226" width="6.7109375" style="2" customWidth="1"/>
    <col min="15227" max="15461" width="11.42578125" style="2"/>
    <col min="15462" max="15462" width="4" style="2" customWidth="1"/>
    <col min="15463" max="15463" width="24.7109375" style="2" customWidth="1"/>
    <col min="15464" max="15464" width="0.85546875" style="2" customWidth="1"/>
    <col min="15465" max="15465" width="10.7109375" style="2" customWidth="1"/>
    <col min="15466" max="15466" width="0.85546875" style="2" customWidth="1"/>
    <col min="15467" max="15467" width="14.7109375" style="2" customWidth="1"/>
    <col min="15468" max="15468" width="20" style="2" customWidth="1"/>
    <col min="15469" max="15469" width="0.85546875" style="2" customWidth="1"/>
    <col min="15470" max="15471" width="14.7109375" style="2" customWidth="1"/>
    <col min="15472" max="15472" width="0.85546875" style="2" customWidth="1"/>
    <col min="15473" max="15474" width="14.7109375" style="2" customWidth="1"/>
    <col min="15475" max="15475" width="0.85546875" style="2" customWidth="1"/>
    <col min="15476" max="15476" width="14.7109375" style="2" customWidth="1"/>
    <col min="15477" max="15477" width="0.85546875" style="2" customWidth="1"/>
    <col min="15478" max="15479" width="6.7109375" style="2" customWidth="1"/>
    <col min="15480" max="15480" width="7.7109375" style="2" bestFit="1" customWidth="1"/>
    <col min="15481" max="15482" width="6.7109375" style="2" customWidth="1"/>
    <col min="15483" max="15717" width="11.42578125" style="2"/>
    <col min="15718" max="15718" width="4" style="2" customWidth="1"/>
    <col min="15719" max="15719" width="24.7109375" style="2" customWidth="1"/>
    <col min="15720" max="15720" width="0.85546875" style="2" customWidth="1"/>
    <col min="15721" max="15721" width="10.7109375" style="2" customWidth="1"/>
    <col min="15722" max="15722" width="0.85546875" style="2" customWidth="1"/>
    <col min="15723" max="15723" width="14.7109375" style="2" customWidth="1"/>
    <col min="15724" max="15724" width="20" style="2" customWidth="1"/>
    <col min="15725" max="15725" width="0.85546875" style="2" customWidth="1"/>
    <col min="15726" max="15727" width="14.7109375" style="2" customWidth="1"/>
    <col min="15728" max="15728" width="0.85546875" style="2" customWidth="1"/>
    <col min="15729" max="15730" width="14.7109375" style="2" customWidth="1"/>
    <col min="15731" max="15731" width="0.85546875" style="2" customWidth="1"/>
    <col min="15732" max="15732" width="14.7109375" style="2" customWidth="1"/>
    <col min="15733" max="15733" width="0.85546875" style="2" customWidth="1"/>
    <col min="15734" max="15735" width="6.7109375" style="2" customWidth="1"/>
    <col min="15736" max="15736" width="7.7109375" style="2" bestFit="1" customWidth="1"/>
    <col min="15737" max="15738" width="6.7109375" style="2" customWidth="1"/>
    <col min="15739" max="15973" width="11.42578125" style="2"/>
    <col min="15974" max="15974" width="4" style="2" customWidth="1"/>
    <col min="15975" max="15975" width="24.7109375" style="2" customWidth="1"/>
    <col min="15976" max="15976" width="0.85546875" style="2" customWidth="1"/>
    <col min="15977" max="15977" width="10.7109375" style="2" customWidth="1"/>
    <col min="15978" max="15978" width="0.85546875" style="2" customWidth="1"/>
    <col min="15979" max="15979" width="14.7109375" style="2" customWidth="1"/>
    <col min="15980" max="15980" width="20" style="2" customWidth="1"/>
    <col min="15981" max="15981" width="0.85546875" style="2" customWidth="1"/>
    <col min="15982" max="15983" width="14.7109375" style="2" customWidth="1"/>
    <col min="15984" max="15984" width="0.85546875" style="2" customWidth="1"/>
    <col min="15985" max="15986" width="14.7109375" style="2" customWidth="1"/>
    <col min="15987" max="15987" width="0.85546875" style="2" customWidth="1"/>
    <col min="15988" max="15988" width="14.7109375" style="2" customWidth="1"/>
    <col min="15989" max="15989" width="0.85546875" style="2" customWidth="1"/>
    <col min="15990" max="15991" width="6.7109375" style="2" customWidth="1"/>
    <col min="15992" max="15992" width="7.7109375" style="2" bestFit="1" customWidth="1"/>
    <col min="15993" max="15994" width="6.7109375" style="2" customWidth="1"/>
    <col min="15995" max="16384" width="11.42578125" style="2"/>
  </cols>
  <sheetData>
    <row r="1" spans="2:21" ht="24.95" customHeight="1" x14ac:dyDescent="0.25">
      <c r="B1" s="483"/>
    </row>
    <row r="2" spans="2:21" ht="24.95" customHeight="1" x14ac:dyDescent="0.25">
      <c r="B2" s="832" t="s">
        <v>71</v>
      </c>
      <c r="C2" s="832"/>
      <c r="D2" s="832"/>
      <c r="E2" s="832"/>
      <c r="F2" s="832"/>
      <c r="G2" s="832"/>
      <c r="H2" s="832"/>
      <c r="I2" s="832"/>
      <c r="J2" s="832"/>
      <c r="K2" s="832"/>
      <c r="L2" s="832"/>
      <c r="M2" s="832"/>
      <c r="N2" s="832"/>
      <c r="O2" s="832"/>
      <c r="P2" s="832"/>
      <c r="Q2" s="832"/>
      <c r="R2" s="832"/>
      <c r="S2" s="832"/>
      <c r="T2" s="832"/>
      <c r="U2" s="832"/>
    </row>
    <row r="3" spans="2:21" ht="24.95" customHeight="1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spans="2:21" s="3" customFormat="1" ht="24.95" customHeight="1" x14ac:dyDescent="0.25">
      <c r="B4" s="129"/>
      <c r="C4" s="410"/>
      <c r="F4" s="820" t="s">
        <v>170</v>
      </c>
      <c r="G4" s="821"/>
      <c r="H4" s="431"/>
      <c r="I4" s="822" t="str">
        <f>Production!I4</f>
        <v>Décembre 2025</v>
      </c>
      <c r="J4" s="823"/>
      <c r="K4" s="255"/>
      <c r="L4" s="824" t="str">
        <f>Production!L4</f>
        <v>Cumul à fin Décembre 2025</v>
      </c>
      <c r="M4" s="825"/>
      <c r="N4" s="8"/>
      <c r="O4" s="9" t="s">
        <v>0</v>
      </c>
      <c r="P4" s="7"/>
      <c r="Q4" s="829" t="s">
        <v>1</v>
      </c>
      <c r="R4" s="830"/>
      <c r="S4" s="830"/>
      <c r="T4" s="830"/>
      <c r="U4" s="831"/>
    </row>
    <row r="5" spans="2:21" s="3" customFormat="1" ht="30" customHeight="1" x14ac:dyDescent="0.25">
      <c r="B5" s="128"/>
      <c r="D5" s="10"/>
      <c r="F5" s="613" t="str">
        <f>Production!F5</f>
        <v>Décembre</v>
      </c>
      <c r="G5" s="613" t="str">
        <f>Production!G5</f>
        <v>Cumul à fin décembre</v>
      </c>
      <c r="H5" s="614"/>
      <c r="I5" s="11" t="s">
        <v>2</v>
      </c>
      <c r="J5" s="11" t="s">
        <v>3</v>
      </c>
      <c r="K5" s="255"/>
      <c r="L5" s="11" t="s">
        <v>2</v>
      </c>
      <c r="M5" s="11" t="s">
        <v>3</v>
      </c>
      <c r="N5" s="12"/>
      <c r="O5" s="13">
        <v>2025</v>
      </c>
      <c r="P5" s="7"/>
      <c r="Q5" s="829" t="s">
        <v>3</v>
      </c>
      <c r="R5" s="830"/>
      <c r="S5" s="831"/>
      <c r="T5" s="829" t="s">
        <v>4</v>
      </c>
      <c r="U5" s="831"/>
    </row>
    <row r="6" spans="2:21" s="14" customFormat="1" ht="24.95" customHeight="1" x14ac:dyDescent="0.25">
      <c r="B6" s="878" t="s">
        <v>72</v>
      </c>
      <c r="C6" s="878"/>
      <c r="D6" s="878"/>
      <c r="F6" s="15" t="s">
        <v>6</v>
      </c>
      <c r="G6" s="15" t="s">
        <v>7</v>
      </c>
      <c r="H6" s="16"/>
      <c r="I6" s="15" t="s">
        <v>8</v>
      </c>
      <c r="J6" s="15" t="s">
        <v>9</v>
      </c>
      <c r="K6" s="2"/>
      <c r="L6" s="15" t="s">
        <v>10</v>
      </c>
      <c r="M6" s="15" t="s">
        <v>11</v>
      </c>
      <c r="N6" s="17"/>
      <c r="O6" s="15" t="s">
        <v>12</v>
      </c>
      <c r="P6" s="3"/>
      <c r="Q6" s="18" t="s">
        <v>13</v>
      </c>
      <c r="R6" s="18" t="s">
        <v>14</v>
      </c>
      <c r="S6" s="18" t="s">
        <v>15</v>
      </c>
      <c r="T6" s="18" t="s">
        <v>158</v>
      </c>
      <c r="U6" s="18" t="s">
        <v>159</v>
      </c>
    </row>
    <row r="7" spans="2:21" s="28" customFormat="1" ht="24.95" customHeight="1" x14ac:dyDescent="0.25">
      <c r="B7" s="130" t="s">
        <v>29</v>
      </c>
      <c r="D7" s="122" t="s">
        <v>43</v>
      </c>
      <c r="E7" s="7"/>
      <c r="F7" s="235"/>
      <c r="G7" s="83"/>
      <c r="H7" s="35"/>
      <c r="I7" s="235"/>
      <c r="J7" s="83"/>
      <c r="K7" s="25"/>
      <c r="L7" s="235"/>
      <c r="M7" s="83"/>
      <c r="N7" s="32"/>
      <c r="O7" s="83"/>
      <c r="Q7" s="84" t="str">
        <f>IFERROR(J7/I7,"-")</f>
        <v>-</v>
      </c>
      <c r="R7" s="85" t="str">
        <f>IFERROR(M7/L7,"-")</f>
        <v>-</v>
      </c>
      <c r="S7" s="86" t="str">
        <f>IFERROR(M7/O7,"-")</f>
        <v>-</v>
      </c>
      <c r="T7" s="670" t="str">
        <f>IFERROR(J7/F7-1,"-")</f>
        <v>-</v>
      </c>
      <c r="U7" s="86" t="str">
        <f>IFERROR(M7/G7-1,"-")</f>
        <v>-</v>
      </c>
    </row>
    <row r="8" spans="2:21" s="28" customFormat="1" ht="24.95" customHeight="1" x14ac:dyDescent="0.25">
      <c r="B8" s="131" t="s">
        <v>73</v>
      </c>
      <c r="D8" s="124" t="s">
        <v>74</v>
      </c>
      <c r="E8" s="7"/>
      <c r="F8" s="30"/>
      <c r="G8" s="30"/>
      <c r="H8" s="39"/>
      <c r="I8" s="30"/>
      <c r="J8" s="30"/>
      <c r="K8" s="25"/>
      <c r="L8" s="30"/>
      <c r="M8" s="30"/>
      <c r="N8" s="32"/>
      <c r="O8" s="29"/>
      <c r="Q8" s="43" t="str">
        <f>IFERROR(J8/I8,"-")</f>
        <v>-</v>
      </c>
      <c r="R8" s="44" t="str">
        <f t="shared" ref="R8:R17" si="0">IFERROR(M8/L8,"-")</f>
        <v>-</v>
      </c>
      <c r="S8" s="45" t="str">
        <f t="shared" ref="S8:S17" si="1">IFERROR(M8/O8,"-")</f>
        <v>-</v>
      </c>
      <c r="T8" s="651" t="str">
        <f>IFERROR(J8/F8-1,"-")</f>
        <v>-</v>
      </c>
      <c r="U8" s="45" t="str">
        <f>IFERROR(M8/G8-1,"-")</f>
        <v>-</v>
      </c>
    </row>
    <row r="9" spans="2:21" s="28" customFormat="1" ht="24.95" customHeight="1" x14ac:dyDescent="0.25">
      <c r="B9" s="131" t="s">
        <v>75</v>
      </c>
      <c r="D9" s="124" t="s">
        <v>43</v>
      </c>
      <c r="E9" s="7"/>
      <c r="F9" s="30"/>
      <c r="G9" s="30"/>
      <c r="H9" s="30"/>
      <c r="I9" s="30"/>
      <c r="J9" s="30"/>
      <c r="K9" s="30"/>
      <c r="L9" s="30"/>
      <c r="M9" s="30"/>
      <c r="N9" s="30"/>
      <c r="O9" s="30"/>
      <c r="Q9" s="46" t="str">
        <f>IFERROR(J9/I9,"-")</f>
        <v>-</v>
      </c>
      <c r="R9" s="91" t="str">
        <f t="shared" si="0"/>
        <v>-</v>
      </c>
      <c r="S9" s="47" t="str">
        <f t="shared" si="1"/>
        <v>-</v>
      </c>
      <c r="T9" s="46" t="str">
        <f>IFERROR(J9/F9-1,"-")</f>
        <v>-</v>
      </c>
      <c r="U9" s="47" t="str">
        <f>IFERROR(M9/G9-1,"-")</f>
        <v>-</v>
      </c>
    </row>
    <row r="10" spans="2:21" s="105" customFormat="1" ht="24.95" customHeight="1" x14ac:dyDescent="0.25">
      <c r="B10" s="93" t="s">
        <v>76</v>
      </c>
      <c r="D10" s="132" t="s">
        <v>77</v>
      </c>
      <c r="E10" s="20"/>
      <c r="F10" s="107"/>
      <c r="G10" s="107"/>
      <c r="H10" s="70"/>
      <c r="I10" s="107"/>
      <c r="J10" s="107"/>
      <c r="K10" s="70"/>
      <c r="L10" s="107"/>
      <c r="M10" s="107"/>
      <c r="N10" s="70"/>
      <c r="O10" s="95"/>
      <c r="P10" s="20"/>
      <c r="Q10" s="43" t="str">
        <f>IFERROR(J10/I10,"-")</f>
        <v>-</v>
      </c>
      <c r="R10" s="44" t="str">
        <f t="shared" si="0"/>
        <v>-</v>
      </c>
      <c r="S10" s="45" t="str">
        <f t="shared" si="1"/>
        <v>-</v>
      </c>
      <c r="T10" s="43" t="str">
        <f>IFERROR(J10/F10-1,"-")</f>
        <v>-</v>
      </c>
      <c r="U10" s="45" t="str">
        <f>IFERROR(M10/G10-1,"-")</f>
        <v>-</v>
      </c>
    </row>
    <row r="11" spans="2:21" s="20" customFormat="1" ht="21.4" customHeight="1" x14ac:dyDescent="0.25">
      <c r="F11" s="234"/>
      <c r="G11" s="234"/>
      <c r="H11" s="234"/>
      <c r="I11" s="234"/>
      <c r="J11" s="234"/>
      <c r="K11" s="234"/>
      <c r="L11" s="234"/>
      <c r="M11" s="234"/>
      <c r="N11" s="234"/>
      <c r="O11" s="234"/>
      <c r="P11" s="234"/>
      <c r="Q11" s="85"/>
      <c r="R11" s="85"/>
      <c r="S11" s="85"/>
      <c r="T11" s="85"/>
      <c r="U11" s="85"/>
    </row>
    <row r="12" spans="2:21" s="20" customFormat="1" ht="16.7" customHeight="1" x14ac:dyDescent="0.25">
      <c r="B12" s="133"/>
      <c r="C12" s="2"/>
      <c r="D12" s="42"/>
      <c r="E12" s="3"/>
      <c r="F12" s="233"/>
      <c r="G12" s="233"/>
      <c r="H12" s="233"/>
      <c r="I12" s="233"/>
      <c r="J12" s="233"/>
      <c r="K12" s="233"/>
      <c r="L12" s="233"/>
      <c r="M12" s="233"/>
      <c r="N12" s="233"/>
      <c r="O12" s="233"/>
      <c r="P12" s="233"/>
      <c r="Q12" s="44"/>
      <c r="R12" s="44"/>
      <c r="S12" s="44"/>
      <c r="T12" s="44"/>
      <c r="U12" s="44"/>
    </row>
    <row r="13" spans="2:21" s="38" customFormat="1" ht="24.95" customHeight="1" x14ac:dyDescent="0.25">
      <c r="B13" s="878" t="s">
        <v>78</v>
      </c>
      <c r="C13" s="878"/>
      <c r="D13" s="878"/>
      <c r="F13" s="127"/>
      <c r="G13" s="127"/>
      <c r="H13" s="127"/>
      <c r="I13" s="127"/>
      <c r="J13" s="127"/>
      <c r="K13" s="127"/>
      <c r="L13" s="127"/>
      <c r="M13" s="127"/>
      <c r="N13" s="127"/>
      <c r="O13" s="127"/>
      <c r="P13" s="21"/>
      <c r="Q13" s="91"/>
      <c r="R13" s="91"/>
      <c r="S13" s="91"/>
      <c r="T13" s="91"/>
      <c r="U13" s="91"/>
    </row>
    <row r="14" spans="2:21" s="28" customFormat="1" ht="24.95" customHeight="1" x14ac:dyDescent="0.25">
      <c r="B14" s="130" t="s">
        <v>29</v>
      </c>
      <c r="D14" s="122" t="s">
        <v>26</v>
      </c>
      <c r="E14" s="7"/>
      <c r="F14" s="576"/>
      <c r="G14" s="577"/>
      <c r="H14" s="578"/>
      <c r="I14" s="576"/>
      <c r="J14" s="576"/>
      <c r="K14" s="579"/>
      <c r="L14" s="576"/>
      <c r="M14" s="577"/>
      <c r="N14" s="580"/>
      <c r="O14" s="577"/>
      <c r="Q14" s="84" t="str">
        <f>IFERROR(J14/I14,"-")</f>
        <v>-</v>
      </c>
      <c r="R14" s="85" t="str">
        <f>IFERROR(M14/L14,"-")</f>
        <v>-</v>
      </c>
      <c r="S14" s="86" t="str">
        <f>IFERROR(M14/O14,"-")</f>
        <v>-</v>
      </c>
      <c r="T14" s="84" t="str">
        <f t="shared" ref="T14:T17" si="2">IFERROR(J14/F14-1,"-")</f>
        <v>-</v>
      </c>
      <c r="U14" s="86" t="str">
        <f t="shared" ref="U14:U17" si="3">IFERROR(M14/G14-1,"-")</f>
        <v>-</v>
      </c>
    </row>
    <row r="15" spans="2:21" s="105" customFormat="1" ht="24.95" customHeight="1" x14ac:dyDescent="0.25">
      <c r="B15" s="131" t="s">
        <v>73</v>
      </c>
      <c r="C15" s="28"/>
      <c r="D15" s="124" t="s">
        <v>74</v>
      </c>
      <c r="E15" s="7"/>
      <c r="F15" s="30"/>
      <c r="G15" s="30"/>
      <c r="H15" s="39"/>
      <c r="I15" s="30"/>
      <c r="J15" s="30"/>
      <c r="K15" s="25"/>
      <c r="L15" s="30"/>
      <c r="M15" s="30"/>
      <c r="N15" s="32"/>
      <c r="O15" s="29"/>
      <c r="P15" s="28"/>
      <c r="Q15" s="43" t="str">
        <f>IFERROR(J15/I15,"-")</f>
        <v>-</v>
      </c>
      <c r="R15" s="44" t="str">
        <f t="shared" si="0"/>
        <v>-</v>
      </c>
      <c r="S15" s="45" t="str">
        <f t="shared" si="1"/>
        <v>-</v>
      </c>
      <c r="T15" s="43" t="str">
        <f t="shared" si="2"/>
        <v>-</v>
      </c>
      <c r="U15" s="45" t="str">
        <f t="shared" si="3"/>
        <v>-</v>
      </c>
    </row>
    <row r="16" spans="2:21" s="28" customFormat="1" ht="24.95" customHeight="1" x14ac:dyDescent="0.25">
      <c r="B16" s="131" t="s">
        <v>75</v>
      </c>
      <c r="D16" s="124" t="s">
        <v>26</v>
      </c>
      <c r="E16" s="7"/>
      <c r="F16" s="30"/>
      <c r="G16" s="30"/>
      <c r="H16" s="30"/>
      <c r="I16" s="581"/>
      <c r="J16" s="674"/>
      <c r="K16" s="30"/>
      <c r="L16" s="30"/>
      <c r="M16" s="581"/>
      <c r="N16" s="581"/>
      <c r="O16" s="581"/>
      <c r="Q16" s="634" t="s">
        <v>175</v>
      </c>
      <c r="R16" s="635" t="s">
        <v>175</v>
      </c>
      <c r="S16" s="636" t="s">
        <v>175</v>
      </c>
      <c r="T16" s="46" t="str">
        <f t="shared" si="2"/>
        <v>-</v>
      </c>
      <c r="U16" s="47" t="str">
        <f t="shared" si="3"/>
        <v>-</v>
      </c>
    </row>
    <row r="17" spans="2:21" s="105" customFormat="1" ht="24.95" customHeight="1" x14ac:dyDescent="0.25">
      <c r="B17" s="93" t="s">
        <v>76</v>
      </c>
      <c r="D17" s="132" t="s">
        <v>77</v>
      </c>
      <c r="E17" s="20"/>
      <c r="F17" s="107"/>
      <c r="G17" s="107"/>
      <c r="H17" s="70"/>
      <c r="I17" s="107"/>
      <c r="J17" s="107"/>
      <c r="K17" s="70"/>
      <c r="L17" s="633"/>
      <c r="M17" s="633"/>
      <c r="N17" s="70"/>
      <c r="O17" s="95"/>
      <c r="P17" s="20"/>
      <c r="Q17" s="517" t="str">
        <f t="shared" ref="Q17" si="4">IFERROR(J17/I17,"-")</f>
        <v>-</v>
      </c>
      <c r="R17" s="518" t="str">
        <f t="shared" si="0"/>
        <v>-</v>
      </c>
      <c r="S17" s="519" t="str">
        <f t="shared" si="1"/>
        <v>-</v>
      </c>
      <c r="T17" s="517" t="str">
        <f t="shared" si="2"/>
        <v>-</v>
      </c>
      <c r="U17" s="519" t="str">
        <f t="shared" si="3"/>
        <v>-</v>
      </c>
    </row>
    <row r="19" spans="2:21" x14ac:dyDescent="0.25">
      <c r="F19" s="797"/>
      <c r="G19" s="797"/>
      <c r="H19" s="797"/>
      <c r="I19" s="797"/>
      <c r="J19" s="797"/>
      <c r="K19" s="797"/>
      <c r="L19" s="797"/>
      <c r="M19" s="797"/>
      <c r="N19" s="797"/>
      <c r="O19" s="797"/>
      <c r="P19" s="797">
        <f t="shared" ref="P19" si="5">P10+P17</f>
        <v>0</v>
      </c>
    </row>
    <row r="20" spans="2:21" x14ac:dyDescent="0.25">
      <c r="F20" s="480"/>
      <c r="G20" s="480"/>
      <c r="H20" s="480"/>
      <c r="I20" s="480"/>
      <c r="J20" s="480"/>
      <c r="K20" s="480"/>
      <c r="L20" s="480"/>
      <c r="M20" s="480"/>
      <c r="N20" s="480"/>
      <c r="O20" s="480"/>
    </row>
    <row r="21" spans="2:21" x14ac:dyDescent="0.25">
      <c r="J21" s="143"/>
    </row>
    <row r="22" spans="2:21" x14ac:dyDescent="0.25">
      <c r="J22" s="143"/>
    </row>
    <row r="24" spans="2:21" x14ac:dyDescent="0.25">
      <c r="L24" s="143"/>
    </row>
    <row r="26" spans="2:21" x14ac:dyDescent="0.25">
      <c r="L26" s="143"/>
    </row>
  </sheetData>
  <mergeCells count="9">
    <mergeCell ref="B6:D6"/>
    <mergeCell ref="B13:D13"/>
    <mergeCell ref="B2:U2"/>
    <mergeCell ref="F4:G4"/>
    <mergeCell ref="I4:J4"/>
    <mergeCell ref="L4:M4"/>
    <mergeCell ref="Q4:U4"/>
    <mergeCell ref="Q5:S5"/>
    <mergeCell ref="T5:U5"/>
  </mergeCell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70" orientation="landscape" r:id="rId1"/>
  <headerFooter>
    <oddFooter xml:space="preserve">&amp;LDCP SPE &amp;R&amp;P
</oddFooter>
  </headerFooter>
  <customProperties>
    <customPr name="EpmWorksheetKeyString_GUID" r:id="rId2"/>
  </customProperties>
  <ignoredErrors>
    <ignoredError sqref="F6:O6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1:M17"/>
  <sheetViews>
    <sheetView showGridLines="0" view="pageBreakPreview" zoomScale="85" zoomScaleNormal="80" zoomScaleSheetLayoutView="85" workbookViewId="0">
      <selection activeCell="F7" sqref="F7:J17"/>
    </sheetView>
  </sheetViews>
  <sheetFormatPr baseColWidth="10" defaultColWidth="11.42578125" defaultRowHeight="12.75" x14ac:dyDescent="0.25"/>
  <cols>
    <col min="1" max="1" width="4" style="148" customWidth="1"/>
    <col min="2" max="2" width="24.7109375" style="147" customWidth="1"/>
    <col min="3" max="3" width="0.85546875" style="148" customWidth="1"/>
    <col min="4" max="4" width="10.7109375" style="149" customWidth="1"/>
    <col min="5" max="5" width="0.85546875" style="149" customWidth="1"/>
    <col min="6" max="6" width="15.7109375" style="149" customWidth="1"/>
    <col min="7" max="7" width="15.7109375" style="148" customWidth="1"/>
    <col min="8" max="8" width="0.85546875" style="148" customWidth="1"/>
    <col min="9" max="10" width="15.7109375" style="148" customWidth="1"/>
    <col min="11" max="11" width="0.85546875" style="148" customWidth="1"/>
    <col min="12" max="13" width="10.7109375" style="148" customWidth="1"/>
    <col min="14" max="152" width="11.42578125" style="148"/>
    <col min="153" max="153" width="4" style="148" customWidth="1"/>
    <col min="154" max="154" width="24.7109375" style="148" customWidth="1"/>
    <col min="155" max="155" width="0.85546875" style="148" customWidth="1"/>
    <col min="156" max="156" width="10.7109375" style="148" customWidth="1"/>
    <col min="157" max="157" width="0.85546875" style="148" customWidth="1"/>
    <col min="158" max="159" width="22.7109375" style="148" customWidth="1"/>
    <col min="160" max="160" width="0.85546875" style="148" customWidth="1"/>
    <col min="161" max="162" width="22.7109375" style="148" customWidth="1"/>
    <col min="163" max="163" width="0.85546875" style="148" customWidth="1"/>
    <col min="164" max="165" width="10.7109375" style="148" customWidth="1"/>
    <col min="166" max="166" width="16" style="148" customWidth="1"/>
    <col min="167" max="408" width="11.42578125" style="148"/>
    <col min="409" max="409" width="4" style="148" customWidth="1"/>
    <col min="410" max="410" width="24.7109375" style="148" customWidth="1"/>
    <col min="411" max="411" width="0.85546875" style="148" customWidth="1"/>
    <col min="412" max="412" width="10.7109375" style="148" customWidth="1"/>
    <col min="413" max="413" width="0.85546875" style="148" customWidth="1"/>
    <col min="414" max="415" width="22.7109375" style="148" customWidth="1"/>
    <col min="416" max="416" width="0.85546875" style="148" customWidth="1"/>
    <col min="417" max="418" width="22.7109375" style="148" customWidth="1"/>
    <col min="419" max="419" width="0.85546875" style="148" customWidth="1"/>
    <col min="420" max="421" width="10.7109375" style="148" customWidth="1"/>
    <col min="422" max="422" width="16" style="148" customWidth="1"/>
    <col min="423" max="664" width="11.42578125" style="148"/>
    <col min="665" max="665" width="4" style="148" customWidth="1"/>
    <col min="666" max="666" width="24.7109375" style="148" customWidth="1"/>
    <col min="667" max="667" width="0.85546875" style="148" customWidth="1"/>
    <col min="668" max="668" width="10.7109375" style="148" customWidth="1"/>
    <col min="669" max="669" width="0.85546875" style="148" customWidth="1"/>
    <col min="670" max="671" width="22.7109375" style="148" customWidth="1"/>
    <col min="672" max="672" width="0.85546875" style="148" customWidth="1"/>
    <col min="673" max="674" width="22.7109375" style="148" customWidth="1"/>
    <col min="675" max="675" width="0.85546875" style="148" customWidth="1"/>
    <col min="676" max="677" width="10.7109375" style="148" customWidth="1"/>
    <col min="678" max="678" width="16" style="148" customWidth="1"/>
    <col min="679" max="920" width="11.42578125" style="148"/>
    <col min="921" max="921" width="4" style="148" customWidth="1"/>
    <col min="922" max="922" width="24.7109375" style="148" customWidth="1"/>
    <col min="923" max="923" width="0.85546875" style="148" customWidth="1"/>
    <col min="924" max="924" width="10.7109375" style="148" customWidth="1"/>
    <col min="925" max="925" width="0.85546875" style="148" customWidth="1"/>
    <col min="926" max="927" width="22.7109375" style="148" customWidth="1"/>
    <col min="928" max="928" width="0.85546875" style="148" customWidth="1"/>
    <col min="929" max="930" width="22.7109375" style="148" customWidth="1"/>
    <col min="931" max="931" width="0.85546875" style="148" customWidth="1"/>
    <col min="932" max="933" width="10.7109375" style="148" customWidth="1"/>
    <col min="934" max="934" width="16" style="148" customWidth="1"/>
    <col min="935" max="1176" width="11.42578125" style="148"/>
    <col min="1177" max="1177" width="4" style="148" customWidth="1"/>
    <col min="1178" max="1178" width="24.7109375" style="148" customWidth="1"/>
    <col min="1179" max="1179" width="0.85546875" style="148" customWidth="1"/>
    <col min="1180" max="1180" width="10.7109375" style="148" customWidth="1"/>
    <col min="1181" max="1181" width="0.85546875" style="148" customWidth="1"/>
    <col min="1182" max="1183" width="22.7109375" style="148" customWidth="1"/>
    <col min="1184" max="1184" width="0.85546875" style="148" customWidth="1"/>
    <col min="1185" max="1186" width="22.7109375" style="148" customWidth="1"/>
    <col min="1187" max="1187" width="0.85546875" style="148" customWidth="1"/>
    <col min="1188" max="1189" width="10.7109375" style="148" customWidth="1"/>
    <col min="1190" max="1190" width="16" style="148" customWidth="1"/>
    <col min="1191" max="1432" width="11.42578125" style="148"/>
    <col min="1433" max="1433" width="4" style="148" customWidth="1"/>
    <col min="1434" max="1434" width="24.7109375" style="148" customWidth="1"/>
    <col min="1435" max="1435" width="0.85546875" style="148" customWidth="1"/>
    <col min="1436" max="1436" width="10.7109375" style="148" customWidth="1"/>
    <col min="1437" max="1437" width="0.85546875" style="148" customWidth="1"/>
    <col min="1438" max="1439" width="22.7109375" style="148" customWidth="1"/>
    <col min="1440" max="1440" width="0.85546875" style="148" customWidth="1"/>
    <col min="1441" max="1442" width="22.7109375" style="148" customWidth="1"/>
    <col min="1443" max="1443" width="0.85546875" style="148" customWidth="1"/>
    <col min="1444" max="1445" width="10.7109375" style="148" customWidth="1"/>
    <col min="1446" max="1446" width="16" style="148" customWidth="1"/>
    <col min="1447" max="1688" width="11.42578125" style="148"/>
    <col min="1689" max="1689" width="4" style="148" customWidth="1"/>
    <col min="1690" max="1690" width="24.7109375" style="148" customWidth="1"/>
    <col min="1691" max="1691" width="0.85546875" style="148" customWidth="1"/>
    <col min="1692" max="1692" width="10.7109375" style="148" customWidth="1"/>
    <col min="1693" max="1693" width="0.85546875" style="148" customWidth="1"/>
    <col min="1694" max="1695" width="22.7109375" style="148" customWidth="1"/>
    <col min="1696" max="1696" width="0.85546875" style="148" customWidth="1"/>
    <col min="1697" max="1698" width="22.7109375" style="148" customWidth="1"/>
    <col min="1699" max="1699" width="0.85546875" style="148" customWidth="1"/>
    <col min="1700" max="1701" width="10.7109375" style="148" customWidth="1"/>
    <col min="1702" max="1702" width="16" style="148" customWidth="1"/>
    <col min="1703" max="1944" width="11.42578125" style="148"/>
    <col min="1945" max="1945" width="4" style="148" customWidth="1"/>
    <col min="1946" max="1946" width="24.7109375" style="148" customWidth="1"/>
    <col min="1947" max="1947" width="0.85546875" style="148" customWidth="1"/>
    <col min="1948" max="1948" width="10.7109375" style="148" customWidth="1"/>
    <col min="1949" max="1949" width="0.85546875" style="148" customWidth="1"/>
    <col min="1950" max="1951" width="22.7109375" style="148" customWidth="1"/>
    <col min="1952" max="1952" width="0.85546875" style="148" customWidth="1"/>
    <col min="1953" max="1954" width="22.7109375" style="148" customWidth="1"/>
    <col min="1955" max="1955" width="0.85546875" style="148" customWidth="1"/>
    <col min="1956" max="1957" width="10.7109375" style="148" customWidth="1"/>
    <col min="1958" max="1958" width="16" style="148" customWidth="1"/>
    <col min="1959" max="2200" width="11.42578125" style="148"/>
    <col min="2201" max="2201" width="4" style="148" customWidth="1"/>
    <col min="2202" max="2202" width="24.7109375" style="148" customWidth="1"/>
    <col min="2203" max="2203" width="0.85546875" style="148" customWidth="1"/>
    <col min="2204" max="2204" width="10.7109375" style="148" customWidth="1"/>
    <col min="2205" max="2205" width="0.85546875" style="148" customWidth="1"/>
    <col min="2206" max="2207" width="22.7109375" style="148" customWidth="1"/>
    <col min="2208" max="2208" width="0.85546875" style="148" customWidth="1"/>
    <col min="2209" max="2210" width="22.7109375" style="148" customWidth="1"/>
    <col min="2211" max="2211" width="0.85546875" style="148" customWidth="1"/>
    <col min="2212" max="2213" width="10.7109375" style="148" customWidth="1"/>
    <col min="2214" max="2214" width="16" style="148" customWidth="1"/>
    <col min="2215" max="2456" width="11.42578125" style="148"/>
    <col min="2457" max="2457" width="4" style="148" customWidth="1"/>
    <col min="2458" max="2458" width="24.7109375" style="148" customWidth="1"/>
    <col min="2459" max="2459" width="0.85546875" style="148" customWidth="1"/>
    <col min="2460" max="2460" width="10.7109375" style="148" customWidth="1"/>
    <col min="2461" max="2461" width="0.85546875" style="148" customWidth="1"/>
    <col min="2462" max="2463" width="22.7109375" style="148" customWidth="1"/>
    <col min="2464" max="2464" width="0.85546875" style="148" customWidth="1"/>
    <col min="2465" max="2466" width="22.7109375" style="148" customWidth="1"/>
    <col min="2467" max="2467" width="0.85546875" style="148" customWidth="1"/>
    <col min="2468" max="2469" width="10.7109375" style="148" customWidth="1"/>
    <col min="2470" max="2470" width="16" style="148" customWidth="1"/>
    <col min="2471" max="2712" width="11.42578125" style="148"/>
    <col min="2713" max="2713" width="4" style="148" customWidth="1"/>
    <col min="2714" max="2714" width="24.7109375" style="148" customWidth="1"/>
    <col min="2715" max="2715" width="0.85546875" style="148" customWidth="1"/>
    <col min="2716" max="2716" width="10.7109375" style="148" customWidth="1"/>
    <col min="2717" max="2717" width="0.85546875" style="148" customWidth="1"/>
    <col min="2718" max="2719" width="22.7109375" style="148" customWidth="1"/>
    <col min="2720" max="2720" width="0.85546875" style="148" customWidth="1"/>
    <col min="2721" max="2722" width="22.7109375" style="148" customWidth="1"/>
    <col min="2723" max="2723" width="0.85546875" style="148" customWidth="1"/>
    <col min="2724" max="2725" width="10.7109375" style="148" customWidth="1"/>
    <col min="2726" max="2726" width="16" style="148" customWidth="1"/>
    <col min="2727" max="2968" width="11.42578125" style="148"/>
    <col min="2969" max="2969" width="4" style="148" customWidth="1"/>
    <col min="2970" max="2970" width="24.7109375" style="148" customWidth="1"/>
    <col min="2971" max="2971" width="0.85546875" style="148" customWidth="1"/>
    <col min="2972" max="2972" width="10.7109375" style="148" customWidth="1"/>
    <col min="2973" max="2973" width="0.85546875" style="148" customWidth="1"/>
    <col min="2974" max="2975" width="22.7109375" style="148" customWidth="1"/>
    <col min="2976" max="2976" width="0.85546875" style="148" customWidth="1"/>
    <col min="2977" max="2978" width="22.7109375" style="148" customWidth="1"/>
    <col min="2979" max="2979" width="0.85546875" style="148" customWidth="1"/>
    <col min="2980" max="2981" width="10.7109375" style="148" customWidth="1"/>
    <col min="2982" max="2982" width="16" style="148" customWidth="1"/>
    <col min="2983" max="3224" width="11.42578125" style="148"/>
    <col min="3225" max="3225" width="4" style="148" customWidth="1"/>
    <col min="3226" max="3226" width="24.7109375" style="148" customWidth="1"/>
    <col min="3227" max="3227" width="0.85546875" style="148" customWidth="1"/>
    <col min="3228" max="3228" width="10.7109375" style="148" customWidth="1"/>
    <col min="3229" max="3229" width="0.85546875" style="148" customWidth="1"/>
    <col min="3230" max="3231" width="22.7109375" style="148" customWidth="1"/>
    <col min="3232" max="3232" width="0.85546875" style="148" customWidth="1"/>
    <col min="3233" max="3234" width="22.7109375" style="148" customWidth="1"/>
    <col min="3235" max="3235" width="0.85546875" style="148" customWidth="1"/>
    <col min="3236" max="3237" width="10.7109375" style="148" customWidth="1"/>
    <col min="3238" max="3238" width="16" style="148" customWidth="1"/>
    <col min="3239" max="3480" width="11.42578125" style="148"/>
    <col min="3481" max="3481" width="4" style="148" customWidth="1"/>
    <col min="3482" max="3482" width="24.7109375" style="148" customWidth="1"/>
    <col min="3483" max="3483" width="0.85546875" style="148" customWidth="1"/>
    <col min="3484" max="3484" width="10.7109375" style="148" customWidth="1"/>
    <col min="3485" max="3485" width="0.85546875" style="148" customWidth="1"/>
    <col min="3486" max="3487" width="22.7109375" style="148" customWidth="1"/>
    <col min="3488" max="3488" width="0.85546875" style="148" customWidth="1"/>
    <col min="3489" max="3490" width="22.7109375" style="148" customWidth="1"/>
    <col min="3491" max="3491" width="0.85546875" style="148" customWidth="1"/>
    <col min="3492" max="3493" width="10.7109375" style="148" customWidth="1"/>
    <col min="3494" max="3494" width="16" style="148" customWidth="1"/>
    <col min="3495" max="3736" width="11.42578125" style="148"/>
    <col min="3737" max="3737" width="4" style="148" customWidth="1"/>
    <col min="3738" max="3738" width="24.7109375" style="148" customWidth="1"/>
    <col min="3739" max="3739" width="0.85546875" style="148" customWidth="1"/>
    <col min="3740" max="3740" width="10.7109375" style="148" customWidth="1"/>
    <col min="3741" max="3741" width="0.85546875" style="148" customWidth="1"/>
    <col min="3742" max="3743" width="22.7109375" style="148" customWidth="1"/>
    <col min="3744" max="3744" width="0.85546875" style="148" customWidth="1"/>
    <col min="3745" max="3746" width="22.7109375" style="148" customWidth="1"/>
    <col min="3747" max="3747" width="0.85546875" style="148" customWidth="1"/>
    <col min="3748" max="3749" width="10.7109375" style="148" customWidth="1"/>
    <col min="3750" max="3750" width="16" style="148" customWidth="1"/>
    <col min="3751" max="3992" width="11.42578125" style="148"/>
    <col min="3993" max="3993" width="4" style="148" customWidth="1"/>
    <col min="3994" max="3994" width="24.7109375" style="148" customWidth="1"/>
    <col min="3995" max="3995" width="0.85546875" style="148" customWidth="1"/>
    <col min="3996" max="3996" width="10.7109375" style="148" customWidth="1"/>
    <col min="3997" max="3997" width="0.85546875" style="148" customWidth="1"/>
    <col min="3998" max="3999" width="22.7109375" style="148" customWidth="1"/>
    <col min="4000" max="4000" width="0.85546875" style="148" customWidth="1"/>
    <col min="4001" max="4002" width="22.7109375" style="148" customWidth="1"/>
    <col min="4003" max="4003" width="0.85546875" style="148" customWidth="1"/>
    <col min="4004" max="4005" width="10.7109375" style="148" customWidth="1"/>
    <col min="4006" max="4006" width="16" style="148" customWidth="1"/>
    <col min="4007" max="4248" width="11.42578125" style="148"/>
    <col min="4249" max="4249" width="4" style="148" customWidth="1"/>
    <col min="4250" max="4250" width="24.7109375" style="148" customWidth="1"/>
    <col min="4251" max="4251" width="0.85546875" style="148" customWidth="1"/>
    <col min="4252" max="4252" width="10.7109375" style="148" customWidth="1"/>
    <col min="4253" max="4253" width="0.85546875" style="148" customWidth="1"/>
    <col min="4254" max="4255" width="22.7109375" style="148" customWidth="1"/>
    <col min="4256" max="4256" width="0.85546875" style="148" customWidth="1"/>
    <col min="4257" max="4258" width="22.7109375" style="148" customWidth="1"/>
    <col min="4259" max="4259" width="0.85546875" style="148" customWidth="1"/>
    <col min="4260" max="4261" width="10.7109375" style="148" customWidth="1"/>
    <col min="4262" max="4262" width="16" style="148" customWidth="1"/>
    <col min="4263" max="4504" width="11.42578125" style="148"/>
    <col min="4505" max="4505" width="4" style="148" customWidth="1"/>
    <col min="4506" max="4506" width="24.7109375" style="148" customWidth="1"/>
    <col min="4507" max="4507" width="0.85546875" style="148" customWidth="1"/>
    <col min="4508" max="4508" width="10.7109375" style="148" customWidth="1"/>
    <col min="4509" max="4509" width="0.85546875" style="148" customWidth="1"/>
    <col min="4510" max="4511" width="22.7109375" style="148" customWidth="1"/>
    <col min="4512" max="4512" width="0.85546875" style="148" customWidth="1"/>
    <col min="4513" max="4514" width="22.7109375" style="148" customWidth="1"/>
    <col min="4515" max="4515" width="0.85546875" style="148" customWidth="1"/>
    <col min="4516" max="4517" width="10.7109375" style="148" customWidth="1"/>
    <col min="4518" max="4518" width="16" style="148" customWidth="1"/>
    <col min="4519" max="4760" width="11.42578125" style="148"/>
    <col min="4761" max="4761" width="4" style="148" customWidth="1"/>
    <col min="4762" max="4762" width="24.7109375" style="148" customWidth="1"/>
    <col min="4763" max="4763" width="0.85546875" style="148" customWidth="1"/>
    <col min="4764" max="4764" width="10.7109375" style="148" customWidth="1"/>
    <col min="4765" max="4765" width="0.85546875" style="148" customWidth="1"/>
    <col min="4766" max="4767" width="22.7109375" style="148" customWidth="1"/>
    <col min="4768" max="4768" width="0.85546875" style="148" customWidth="1"/>
    <col min="4769" max="4770" width="22.7109375" style="148" customWidth="1"/>
    <col min="4771" max="4771" width="0.85546875" style="148" customWidth="1"/>
    <col min="4772" max="4773" width="10.7109375" style="148" customWidth="1"/>
    <col min="4774" max="4774" width="16" style="148" customWidth="1"/>
    <col min="4775" max="5016" width="11.42578125" style="148"/>
    <col min="5017" max="5017" width="4" style="148" customWidth="1"/>
    <col min="5018" max="5018" width="24.7109375" style="148" customWidth="1"/>
    <col min="5019" max="5019" width="0.85546875" style="148" customWidth="1"/>
    <col min="5020" max="5020" width="10.7109375" style="148" customWidth="1"/>
    <col min="5021" max="5021" width="0.85546875" style="148" customWidth="1"/>
    <col min="5022" max="5023" width="22.7109375" style="148" customWidth="1"/>
    <col min="5024" max="5024" width="0.85546875" style="148" customWidth="1"/>
    <col min="5025" max="5026" width="22.7109375" style="148" customWidth="1"/>
    <col min="5027" max="5027" width="0.85546875" style="148" customWidth="1"/>
    <col min="5028" max="5029" width="10.7109375" style="148" customWidth="1"/>
    <col min="5030" max="5030" width="16" style="148" customWidth="1"/>
    <col min="5031" max="5272" width="11.42578125" style="148"/>
    <col min="5273" max="5273" width="4" style="148" customWidth="1"/>
    <col min="5274" max="5274" width="24.7109375" style="148" customWidth="1"/>
    <col min="5275" max="5275" width="0.85546875" style="148" customWidth="1"/>
    <col min="5276" max="5276" width="10.7109375" style="148" customWidth="1"/>
    <col min="5277" max="5277" width="0.85546875" style="148" customWidth="1"/>
    <col min="5278" max="5279" width="22.7109375" style="148" customWidth="1"/>
    <col min="5280" max="5280" width="0.85546875" style="148" customWidth="1"/>
    <col min="5281" max="5282" width="22.7109375" style="148" customWidth="1"/>
    <col min="5283" max="5283" width="0.85546875" style="148" customWidth="1"/>
    <col min="5284" max="5285" width="10.7109375" style="148" customWidth="1"/>
    <col min="5286" max="5286" width="16" style="148" customWidth="1"/>
    <col min="5287" max="5528" width="11.42578125" style="148"/>
    <col min="5529" max="5529" width="4" style="148" customWidth="1"/>
    <col min="5530" max="5530" width="24.7109375" style="148" customWidth="1"/>
    <col min="5531" max="5531" width="0.85546875" style="148" customWidth="1"/>
    <col min="5532" max="5532" width="10.7109375" style="148" customWidth="1"/>
    <col min="5533" max="5533" width="0.85546875" style="148" customWidth="1"/>
    <col min="5534" max="5535" width="22.7109375" style="148" customWidth="1"/>
    <col min="5536" max="5536" width="0.85546875" style="148" customWidth="1"/>
    <col min="5537" max="5538" width="22.7109375" style="148" customWidth="1"/>
    <col min="5539" max="5539" width="0.85546875" style="148" customWidth="1"/>
    <col min="5540" max="5541" width="10.7109375" style="148" customWidth="1"/>
    <col min="5542" max="5542" width="16" style="148" customWidth="1"/>
    <col min="5543" max="5784" width="11.42578125" style="148"/>
    <col min="5785" max="5785" width="4" style="148" customWidth="1"/>
    <col min="5786" max="5786" width="24.7109375" style="148" customWidth="1"/>
    <col min="5787" max="5787" width="0.85546875" style="148" customWidth="1"/>
    <col min="5788" max="5788" width="10.7109375" style="148" customWidth="1"/>
    <col min="5789" max="5789" width="0.85546875" style="148" customWidth="1"/>
    <col min="5790" max="5791" width="22.7109375" style="148" customWidth="1"/>
    <col min="5792" max="5792" width="0.85546875" style="148" customWidth="1"/>
    <col min="5793" max="5794" width="22.7109375" style="148" customWidth="1"/>
    <col min="5795" max="5795" width="0.85546875" style="148" customWidth="1"/>
    <col min="5796" max="5797" width="10.7109375" style="148" customWidth="1"/>
    <col min="5798" max="5798" width="16" style="148" customWidth="1"/>
    <col min="5799" max="6040" width="11.42578125" style="148"/>
    <col min="6041" max="6041" width="4" style="148" customWidth="1"/>
    <col min="6042" max="6042" width="24.7109375" style="148" customWidth="1"/>
    <col min="6043" max="6043" width="0.85546875" style="148" customWidth="1"/>
    <col min="6044" max="6044" width="10.7109375" style="148" customWidth="1"/>
    <col min="6045" max="6045" width="0.85546875" style="148" customWidth="1"/>
    <col min="6046" max="6047" width="22.7109375" style="148" customWidth="1"/>
    <col min="6048" max="6048" width="0.85546875" style="148" customWidth="1"/>
    <col min="6049" max="6050" width="22.7109375" style="148" customWidth="1"/>
    <col min="6051" max="6051" width="0.85546875" style="148" customWidth="1"/>
    <col min="6052" max="6053" width="10.7109375" style="148" customWidth="1"/>
    <col min="6054" max="6054" width="16" style="148" customWidth="1"/>
    <col min="6055" max="6296" width="11.42578125" style="148"/>
    <col min="6297" max="6297" width="4" style="148" customWidth="1"/>
    <col min="6298" max="6298" width="24.7109375" style="148" customWidth="1"/>
    <col min="6299" max="6299" width="0.85546875" style="148" customWidth="1"/>
    <col min="6300" max="6300" width="10.7109375" style="148" customWidth="1"/>
    <col min="6301" max="6301" width="0.85546875" style="148" customWidth="1"/>
    <col min="6302" max="6303" width="22.7109375" style="148" customWidth="1"/>
    <col min="6304" max="6304" width="0.85546875" style="148" customWidth="1"/>
    <col min="6305" max="6306" width="22.7109375" style="148" customWidth="1"/>
    <col min="6307" max="6307" width="0.85546875" style="148" customWidth="1"/>
    <col min="6308" max="6309" width="10.7109375" style="148" customWidth="1"/>
    <col min="6310" max="6310" width="16" style="148" customWidth="1"/>
    <col min="6311" max="6552" width="11.42578125" style="148"/>
    <col min="6553" max="6553" width="4" style="148" customWidth="1"/>
    <col min="6554" max="6554" width="24.7109375" style="148" customWidth="1"/>
    <col min="6555" max="6555" width="0.85546875" style="148" customWidth="1"/>
    <col min="6556" max="6556" width="10.7109375" style="148" customWidth="1"/>
    <col min="6557" max="6557" width="0.85546875" style="148" customWidth="1"/>
    <col min="6558" max="6559" width="22.7109375" style="148" customWidth="1"/>
    <col min="6560" max="6560" width="0.85546875" style="148" customWidth="1"/>
    <col min="6561" max="6562" width="22.7109375" style="148" customWidth="1"/>
    <col min="6563" max="6563" width="0.85546875" style="148" customWidth="1"/>
    <col min="6564" max="6565" width="10.7109375" style="148" customWidth="1"/>
    <col min="6566" max="6566" width="16" style="148" customWidth="1"/>
    <col min="6567" max="6808" width="11.42578125" style="148"/>
    <col min="6809" max="6809" width="4" style="148" customWidth="1"/>
    <col min="6810" max="6810" width="24.7109375" style="148" customWidth="1"/>
    <col min="6811" max="6811" width="0.85546875" style="148" customWidth="1"/>
    <col min="6812" max="6812" width="10.7109375" style="148" customWidth="1"/>
    <col min="6813" max="6813" width="0.85546875" style="148" customWidth="1"/>
    <col min="6814" max="6815" width="22.7109375" style="148" customWidth="1"/>
    <col min="6816" max="6816" width="0.85546875" style="148" customWidth="1"/>
    <col min="6817" max="6818" width="22.7109375" style="148" customWidth="1"/>
    <col min="6819" max="6819" width="0.85546875" style="148" customWidth="1"/>
    <col min="6820" max="6821" width="10.7109375" style="148" customWidth="1"/>
    <col min="6822" max="6822" width="16" style="148" customWidth="1"/>
    <col min="6823" max="7064" width="11.42578125" style="148"/>
    <col min="7065" max="7065" width="4" style="148" customWidth="1"/>
    <col min="7066" max="7066" width="24.7109375" style="148" customWidth="1"/>
    <col min="7067" max="7067" width="0.85546875" style="148" customWidth="1"/>
    <col min="7068" max="7068" width="10.7109375" style="148" customWidth="1"/>
    <col min="7069" max="7069" width="0.85546875" style="148" customWidth="1"/>
    <col min="7070" max="7071" width="22.7109375" style="148" customWidth="1"/>
    <col min="7072" max="7072" width="0.85546875" style="148" customWidth="1"/>
    <col min="7073" max="7074" width="22.7109375" style="148" customWidth="1"/>
    <col min="7075" max="7075" width="0.85546875" style="148" customWidth="1"/>
    <col min="7076" max="7077" width="10.7109375" style="148" customWidth="1"/>
    <col min="7078" max="7078" width="16" style="148" customWidth="1"/>
    <col min="7079" max="7320" width="11.42578125" style="148"/>
    <col min="7321" max="7321" width="4" style="148" customWidth="1"/>
    <col min="7322" max="7322" width="24.7109375" style="148" customWidth="1"/>
    <col min="7323" max="7323" width="0.85546875" style="148" customWidth="1"/>
    <col min="7324" max="7324" width="10.7109375" style="148" customWidth="1"/>
    <col min="7325" max="7325" width="0.85546875" style="148" customWidth="1"/>
    <col min="7326" max="7327" width="22.7109375" style="148" customWidth="1"/>
    <col min="7328" max="7328" width="0.85546875" style="148" customWidth="1"/>
    <col min="7329" max="7330" width="22.7109375" style="148" customWidth="1"/>
    <col min="7331" max="7331" width="0.85546875" style="148" customWidth="1"/>
    <col min="7332" max="7333" width="10.7109375" style="148" customWidth="1"/>
    <col min="7334" max="7334" width="16" style="148" customWidth="1"/>
    <col min="7335" max="7576" width="11.42578125" style="148"/>
    <col min="7577" max="7577" width="4" style="148" customWidth="1"/>
    <col min="7578" max="7578" width="24.7109375" style="148" customWidth="1"/>
    <col min="7579" max="7579" width="0.85546875" style="148" customWidth="1"/>
    <col min="7580" max="7580" width="10.7109375" style="148" customWidth="1"/>
    <col min="7581" max="7581" width="0.85546875" style="148" customWidth="1"/>
    <col min="7582" max="7583" width="22.7109375" style="148" customWidth="1"/>
    <col min="7584" max="7584" width="0.85546875" style="148" customWidth="1"/>
    <col min="7585" max="7586" width="22.7109375" style="148" customWidth="1"/>
    <col min="7587" max="7587" width="0.85546875" style="148" customWidth="1"/>
    <col min="7588" max="7589" width="10.7109375" style="148" customWidth="1"/>
    <col min="7590" max="7590" width="16" style="148" customWidth="1"/>
    <col min="7591" max="7832" width="11.42578125" style="148"/>
    <col min="7833" max="7833" width="4" style="148" customWidth="1"/>
    <col min="7834" max="7834" width="24.7109375" style="148" customWidth="1"/>
    <col min="7835" max="7835" width="0.85546875" style="148" customWidth="1"/>
    <col min="7836" max="7836" width="10.7109375" style="148" customWidth="1"/>
    <col min="7837" max="7837" width="0.85546875" style="148" customWidth="1"/>
    <col min="7838" max="7839" width="22.7109375" style="148" customWidth="1"/>
    <col min="7840" max="7840" width="0.85546875" style="148" customWidth="1"/>
    <col min="7841" max="7842" width="22.7109375" style="148" customWidth="1"/>
    <col min="7843" max="7843" width="0.85546875" style="148" customWidth="1"/>
    <col min="7844" max="7845" width="10.7109375" style="148" customWidth="1"/>
    <col min="7846" max="7846" width="16" style="148" customWidth="1"/>
    <col min="7847" max="8088" width="11.42578125" style="148"/>
    <col min="8089" max="8089" width="4" style="148" customWidth="1"/>
    <col min="8090" max="8090" width="24.7109375" style="148" customWidth="1"/>
    <col min="8091" max="8091" width="0.85546875" style="148" customWidth="1"/>
    <col min="8092" max="8092" width="10.7109375" style="148" customWidth="1"/>
    <col min="8093" max="8093" width="0.85546875" style="148" customWidth="1"/>
    <col min="8094" max="8095" width="22.7109375" style="148" customWidth="1"/>
    <col min="8096" max="8096" width="0.85546875" style="148" customWidth="1"/>
    <col min="8097" max="8098" width="22.7109375" style="148" customWidth="1"/>
    <col min="8099" max="8099" width="0.85546875" style="148" customWidth="1"/>
    <col min="8100" max="8101" width="10.7109375" style="148" customWidth="1"/>
    <col min="8102" max="8102" width="16" style="148" customWidth="1"/>
    <col min="8103" max="8344" width="11.42578125" style="148"/>
    <col min="8345" max="8345" width="4" style="148" customWidth="1"/>
    <col min="8346" max="8346" width="24.7109375" style="148" customWidth="1"/>
    <col min="8347" max="8347" width="0.85546875" style="148" customWidth="1"/>
    <col min="8348" max="8348" width="10.7109375" style="148" customWidth="1"/>
    <col min="8349" max="8349" width="0.85546875" style="148" customWidth="1"/>
    <col min="8350" max="8351" width="22.7109375" style="148" customWidth="1"/>
    <col min="8352" max="8352" width="0.85546875" style="148" customWidth="1"/>
    <col min="8353" max="8354" width="22.7109375" style="148" customWidth="1"/>
    <col min="8355" max="8355" width="0.85546875" style="148" customWidth="1"/>
    <col min="8356" max="8357" width="10.7109375" style="148" customWidth="1"/>
    <col min="8358" max="8358" width="16" style="148" customWidth="1"/>
    <col min="8359" max="8600" width="11.42578125" style="148"/>
    <col min="8601" max="8601" width="4" style="148" customWidth="1"/>
    <col min="8602" max="8602" width="24.7109375" style="148" customWidth="1"/>
    <col min="8603" max="8603" width="0.85546875" style="148" customWidth="1"/>
    <col min="8604" max="8604" width="10.7109375" style="148" customWidth="1"/>
    <col min="8605" max="8605" width="0.85546875" style="148" customWidth="1"/>
    <col min="8606" max="8607" width="22.7109375" style="148" customWidth="1"/>
    <col min="8608" max="8608" width="0.85546875" style="148" customWidth="1"/>
    <col min="8609" max="8610" width="22.7109375" style="148" customWidth="1"/>
    <col min="8611" max="8611" width="0.85546875" style="148" customWidth="1"/>
    <col min="8612" max="8613" width="10.7109375" style="148" customWidth="1"/>
    <col min="8614" max="8614" width="16" style="148" customWidth="1"/>
    <col min="8615" max="8856" width="11.42578125" style="148"/>
    <col min="8857" max="8857" width="4" style="148" customWidth="1"/>
    <col min="8858" max="8858" width="24.7109375" style="148" customWidth="1"/>
    <col min="8859" max="8859" width="0.85546875" style="148" customWidth="1"/>
    <col min="8860" max="8860" width="10.7109375" style="148" customWidth="1"/>
    <col min="8861" max="8861" width="0.85546875" style="148" customWidth="1"/>
    <col min="8862" max="8863" width="22.7109375" style="148" customWidth="1"/>
    <col min="8864" max="8864" width="0.85546875" style="148" customWidth="1"/>
    <col min="8865" max="8866" width="22.7109375" style="148" customWidth="1"/>
    <col min="8867" max="8867" width="0.85546875" style="148" customWidth="1"/>
    <col min="8868" max="8869" width="10.7109375" style="148" customWidth="1"/>
    <col min="8870" max="8870" width="16" style="148" customWidth="1"/>
    <col min="8871" max="9112" width="11.42578125" style="148"/>
    <col min="9113" max="9113" width="4" style="148" customWidth="1"/>
    <col min="9114" max="9114" width="24.7109375" style="148" customWidth="1"/>
    <col min="9115" max="9115" width="0.85546875" style="148" customWidth="1"/>
    <col min="9116" max="9116" width="10.7109375" style="148" customWidth="1"/>
    <col min="9117" max="9117" width="0.85546875" style="148" customWidth="1"/>
    <col min="9118" max="9119" width="22.7109375" style="148" customWidth="1"/>
    <col min="9120" max="9120" width="0.85546875" style="148" customWidth="1"/>
    <col min="9121" max="9122" width="22.7109375" style="148" customWidth="1"/>
    <col min="9123" max="9123" width="0.85546875" style="148" customWidth="1"/>
    <col min="9124" max="9125" width="10.7109375" style="148" customWidth="1"/>
    <col min="9126" max="9126" width="16" style="148" customWidth="1"/>
    <col min="9127" max="9368" width="11.42578125" style="148"/>
    <col min="9369" max="9369" width="4" style="148" customWidth="1"/>
    <col min="9370" max="9370" width="24.7109375" style="148" customWidth="1"/>
    <col min="9371" max="9371" width="0.85546875" style="148" customWidth="1"/>
    <col min="9372" max="9372" width="10.7109375" style="148" customWidth="1"/>
    <col min="9373" max="9373" width="0.85546875" style="148" customWidth="1"/>
    <col min="9374" max="9375" width="22.7109375" style="148" customWidth="1"/>
    <col min="9376" max="9376" width="0.85546875" style="148" customWidth="1"/>
    <col min="9377" max="9378" width="22.7109375" style="148" customWidth="1"/>
    <col min="9379" max="9379" width="0.85546875" style="148" customWidth="1"/>
    <col min="9380" max="9381" width="10.7109375" style="148" customWidth="1"/>
    <col min="9382" max="9382" width="16" style="148" customWidth="1"/>
    <col min="9383" max="9624" width="11.42578125" style="148"/>
    <col min="9625" max="9625" width="4" style="148" customWidth="1"/>
    <col min="9626" max="9626" width="24.7109375" style="148" customWidth="1"/>
    <col min="9627" max="9627" width="0.85546875" style="148" customWidth="1"/>
    <col min="9628" max="9628" width="10.7109375" style="148" customWidth="1"/>
    <col min="9629" max="9629" width="0.85546875" style="148" customWidth="1"/>
    <col min="9630" max="9631" width="22.7109375" style="148" customWidth="1"/>
    <col min="9632" max="9632" width="0.85546875" style="148" customWidth="1"/>
    <col min="9633" max="9634" width="22.7109375" style="148" customWidth="1"/>
    <col min="9635" max="9635" width="0.85546875" style="148" customWidth="1"/>
    <col min="9636" max="9637" width="10.7109375" style="148" customWidth="1"/>
    <col min="9638" max="9638" width="16" style="148" customWidth="1"/>
    <col min="9639" max="9880" width="11.42578125" style="148"/>
    <col min="9881" max="9881" width="4" style="148" customWidth="1"/>
    <col min="9882" max="9882" width="24.7109375" style="148" customWidth="1"/>
    <col min="9883" max="9883" width="0.85546875" style="148" customWidth="1"/>
    <col min="9884" max="9884" width="10.7109375" style="148" customWidth="1"/>
    <col min="9885" max="9885" width="0.85546875" style="148" customWidth="1"/>
    <col min="9886" max="9887" width="22.7109375" style="148" customWidth="1"/>
    <col min="9888" max="9888" width="0.85546875" style="148" customWidth="1"/>
    <col min="9889" max="9890" width="22.7109375" style="148" customWidth="1"/>
    <col min="9891" max="9891" width="0.85546875" style="148" customWidth="1"/>
    <col min="9892" max="9893" width="10.7109375" style="148" customWidth="1"/>
    <col min="9894" max="9894" width="16" style="148" customWidth="1"/>
    <col min="9895" max="10136" width="11.42578125" style="148"/>
    <col min="10137" max="10137" width="4" style="148" customWidth="1"/>
    <col min="10138" max="10138" width="24.7109375" style="148" customWidth="1"/>
    <col min="10139" max="10139" width="0.85546875" style="148" customWidth="1"/>
    <col min="10140" max="10140" width="10.7109375" style="148" customWidth="1"/>
    <col min="10141" max="10141" width="0.85546875" style="148" customWidth="1"/>
    <col min="10142" max="10143" width="22.7109375" style="148" customWidth="1"/>
    <col min="10144" max="10144" width="0.85546875" style="148" customWidth="1"/>
    <col min="10145" max="10146" width="22.7109375" style="148" customWidth="1"/>
    <col min="10147" max="10147" width="0.85546875" style="148" customWidth="1"/>
    <col min="10148" max="10149" width="10.7109375" style="148" customWidth="1"/>
    <col min="10150" max="10150" width="16" style="148" customWidth="1"/>
    <col min="10151" max="10392" width="11.42578125" style="148"/>
    <col min="10393" max="10393" width="4" style="148" customWidth="1"/>
    <col min="10394" max="10394" width="24.7109375" style="148" customWidth="1"/>
    <col min="10395" max="10395" width="0.85546875" style="148" customWidth="1"/>
    <col min="10396" max="10396" width="10.7109375" style="148" customWidth="1"/>
    <col min="10397" max="10397" width="0.85546875" style="148" customWidth="1"/>
    <col min="10398" max="10399" width="22.7109375" style="148" customWidth="1"/>
    <col min="10400" max="10400" width="0.85546875" style="148" customWidth="1"/>
    <col min="10401" max="10402" width="22.7109375" style="148" customWidth="1"/>
    <col min="10403" max="10403" width="0.85546875" style="148" customWidth="1"/>
    <col min="10404" max="10405" width="10.7109375" style="148" customWidth="1"/>
    <col min="10406" max="10406" width="16" style="148" customWidth="1"/>
    <col min="10407" max="10648" width="11.42578125" style="148"/>
    <col min="10649" max="10649" width="4" style="148" customWidth="1"/>
    <col min="10650" max="10650" width="24.7109375" style="148" customWidth="1"/>
    <col min="10651" max="10651" width="0.85546875" style="148" customWidth="1"/>
    <col min="10652" max="10652" width="10.7109375" style="148" customWidth="1"/>
    <col min="10653" max="10653" width="0.85546875" style="148" customWidth="1"/>
    <col min="10654" max="10655" width="22.7109375" style="148" customWidth="1"/>
    <col min="10656" max="10656" width="0.85546875" style="148" customWidth="1"/>
    <col min="10657" max="10658" width="22.7109375" style="148" customWidth="1"/>
    <col min="10659" max="10659" width="0.85546875" style="148" customWidth="1"/>
    <col min="10660" max="10661" width="10.7109375" style="148" customWidth="1"/>
    <col min="10662" max="10662" width="16" style="148" customWidth="1"/>
    <col min="10663" max="10904" width="11.42578125" style="148"/>
    <col min="10905" max="10905" width="4" style="148" customWidth="1"/>
    <col min="10906" max="10906" width="24.7109375" style="148" customWidth="1"/>
    <col min="10907" max="10907" width="0.85546875" style="148" customWidth="1"/>
    <col min="10908" max="10908" width="10.7109375" style="148" customWidth="1"/>
    <col min="10909" max="10909" width="0.85546875" style="148" customWidth="1"/>
    <col min="10910" max="10911" width="22.7109375" style="148" customWidth="1"/>
    <col min="10912" max="10912" width="0.85546875" style="148" customWidth="1"/>
    <col min="10913" max="10914" width="22.7109375" style="148" customWidth="1"/>
    <col min="10915" max="10915" width="0.85546875" style="148" customWidth="1"/>
    <col min="10916" max="10917" width="10.7109375" style="148" customWidth="1"/>
    <col min="10918" max="10918" width="16" style="148" customWidth="1"/>
    <col min="10919" max="11160" width="11.42578125" style="148"/>
    <col min="11161" max="11161" width="4" style="148" customWidth="1"/>
    <col min="11162" max="11162" width="24.7109375" style="148" customWidth="1"/>
    <col min="11163" max="11163" width="0.85546875" style="148" customWidth="1"/>
    <col min="11164" max="11164" width="10.7109375" style="148" customWidth="1"/>
    <col min="11165" max="11165" width="0.85546875" style="148" customWidth="1"/>
    <col min="11166" max="11167" width="22.7109375" style="148" customWidth="1"/>
    <col min="11168" max="11168" width="0.85546875" style="148" customWidth="1"/>
    <col min="11169" max="11170" width="22.7109375" style="148" customWidth="1"/>
    <col min="11171" max="11171" width="0.85546875" style="148" customWidth="1"/>
    <col min="11172" max="11173" width="10.7109375" style="148" customWidth="1"/>
    <col min="11174" max="11174" width="16" style="148" customWidth="1"/>
    <col min="11175" max="11416" width="11.42578125" style="148"/>
    <col min="11417" max="11417" width="4" style="148" customWidth="1"/>
    <col min="11418" max="11418" width="24.7109375" style="148" customWidth="1"/>
    <col min="11419" max="11419" width="0.85546875" style="148" customWidth="1"/>
    <col min="11420" max="11420" width="10.7109375" style="148" customWidth="1"/>
    <col min="11421" max="11421" width="0.85546875" style="148" customWidth="1"/>
    <col min="11422" max="11423" width="22.7109375" style="148" customWidth="1"/>
    <col min="11424" max="11424" width="0.85546875" style="148" customWidth="1"/>
    <col min="11425" max="11426" width="22.7109375" style="148" customWidth="1"/>
    <col min="11427" max="11427" width="0.85546875" style="148" customWidth="1"/>
    <col min="11428" max="11429" width="10.7109375" style="148" customWidth="1"/>
    <col min="11430" max="11430" width="16" style="148" customWidth="1"/>
    <col min="11431" max="11672" width="11.42578125" style="148"/>
    <col min="11673" max="11673" width="4" style="148" customWidth="1"/>
    <col min="11674" max="11674" width="24.7109375" style="148" customWidth="1"/>
    <col min="11675" max="11675" width="0.85546875" style="148" customWidth="1"/>
    <col min="11676" max="11676" width="10.7109375" style="148" customWidth="1"/>
    <col min="11677" max="11677" width="0.85546875" style="148" customWidth="1"/>
    <col min="11678" max="11679" width="22.7109375" style="148" customWidth="1"/>
    <col min="11680" max="11680" width="0.85546875" style="148" customWidth="1"/>
    <col min="11681" max="11682" width="22.7109375" style="148" customWidth="1"/>
    <col min="11683" max="11683" width="0.85546875" style="148" customWidth="1"/>
    <col min="11684" max="11685" width="10.7109375" style="148" customWidth="1"/>
    <col min="11686" max="11686" width="16" style="148" customWidth="1"/>
    <col min="11687" max="11928" width="11.42578125" style="148"/>
    <col min="11929" max="11929" width="4" style="148" customWidth="1"/>
    <col min="11930" max="11930" width="24.7109375" style="148" customWidth="1"/>
    <col min="11931" max="11931" width="0.85546875" style="148" customWidth="1"/>
    <col min="11932" max="11932" width="10.7109375" style="148" customWidth="1"/>
    <col min="11933" max="11933" width="0.85546875" style="148" customWidth="1"/>
    <col min="11934" max="11935" width="22.7109375" style="148" customWidth="1"/>
    <col min="11936" max="11936" width="0.85546875" style="148" customWidth="1"/>
    <col min="11937" max="11938" width="22.7109375" style="148" customWidth="1"/>
    <col min="11939" max="11939" width="0.85546875" style="148" customWidth="1"/>
    <col min="11940" max="11941" width="10.7109375" style="148" customWidth="1"/>
    <col min="11942" max="11942" width="16" style="148" customWidth="1"/>
    <col min="11943" max="12184" width="11.42578125" style="148"/>
    <col min="12185" max="12185" width="4" style="148" customWidth="1"/>
    <col min="12186" max="12186" width="24.7109375" style="148" customWidth="1"/>
    <col min="12187" max="12187" width="0.85546875" style="148" customWidth="1"/>
    <col min="12188" max="12188" width="10.7109375" style="148" customWidth="1"/>
    <col min="12189" max="12189" width="0.85546875" style="148" customWidth="1"/>
    <col min="12190" max="12191" width="22.7109375" style="148" customWidth="1"/>
    <col min="12192" max="12192" width="0.85546875" style="148" customWidth="1"/>
    <col min="12193" max="12194" width="22.7109375" style="148" customWidth="1"/>
    <col min="12195" max="12195" width="0.85546875" style="148" customWidth="1"/>
    <col min="12196" max="12197" width="10.7109375" style="148" customWidth="1"/>
    <col min="12198" max="12198" width="16" style="148" customWidth="1"/>
    <col min="12199" max="12440" width="11.42578125" style="148"/>
    <col min="12441" max="12441" width="4" style="148" customWidth="1"/>
    <col min="12442" max="12442" width="24.7109375" style="148" customWidth="1"/>
    <col min="12443" max="12443" width="0.85546875" style="148" customWidth="1"/>
    <col min="12444" max="12444" width="10.7109375" style="148" customWidth="1"/>
    <col min="12445" max="12445" width="0.85546875" style="148" customWidth="1"/>
    <col min="12446" max="12447" width="22.7109375" style="148" customWidth="1"/>
    <col min="12448" max="12448" width="0.85546875" style="148" customWidth="1"/>
    <col min="12449" max="12450" width="22.7109375" style="148" customWidth="1"/>
    <col min="12451" max="12451" width="0.85546875" style="148" customWidth="1"/>
    <col min="12452" max="12453" width="10.7109375" style="148" customWidth="1"/>
    <col min="12454" max="12454" width="16" style="148" customWidth="1"/>
    <col min="12455" max="12696" width="11.42578125" style="148"/>
    <col min="12697" max="12697" width="4" style="148" customWidth="1"/>
    <col min="12698" max="12698" width="24.7109375" style="148" customWidth="1"/>
    <col min="12699" max="12699" width="0.85546875" style="148" customWidth="1"/>
    <col min="12700" max="12700" width="10.7109375" style="148" customWidth="1"/>
    <col min="12701" max="12701" width="0.85546875" style="148" customWidth="1"/>
    <col min="12702" max="12703" width="22.7109375" style="148" customWidth="1"/>
    <col min="12704" max="12704" width="0.85546875" style="148" customWidth="1"/>
    <col min="12705" max="12706" width="22.7109375" style="148" customWidth="1"/>
    <col min="12707" max="12707" width="0.85546875" style="148" customWidth="1"/>
    <col min="12708" max="12709" width="10.7109375" style="148" customWidth="1"/>
    <col min="12710" max="12710" width="16" style="148" customWidth="1"/>
    <col min="12711" max="12952" width="11.42578125" style="148"/>
    <col min="12953" max="12953" width="4" style="148" customWidth="1"/>
    <col min="12954" max="12954" width="24.7109375" style="148" customWidth="1"/>
    <col min="12955" max="12955" width="0.85546875" style="148" customWidth="1"/>
    <col min="12956" max="12956" width="10.7109375" style="148" customWidth="1"/>
    <col min="12957" max="12957" width="0.85546875" style="148" customWidth="1"/>
    <col min="12958" max="12959" width="22.7109375" style="148" customWidth="1"/>
    <col min="12960" max="12960" width="0.85546875" style="148" customWidth="1"/>
    <col min="12961" max="12962" width="22.7109375" style="148" customWidth="1"/>
    <col min="12963" max="12963" width="0.85546875" style="148" customWidth="1"/>
    <col min="12964" max="12965" width="10.7109375" style="148" customWidth="1"/>
    <col min="12966" max="12966" width="16" style="148" customWidth="1"/>
    <col min="12967" max="13208" width="11.42578125" style="148"/>
    <col min="13209" max="13209" width="4" style="148" customWidth="1"/>
    <col min="13210" max="13210" width="24.7109375" style="148" customWidth="1"/>
    <col min="13211" max="13211" width="0.85546875" style="148" customWidth="1"/>
    <col min="13212" max="13212" width="10.7109375" style="148" customWidth="1"/>
    <col min="13213" max="13213" width="0.85546875" style="148" customWidth="1"/>
    <col min="13214" max="13215" width="22.7109375" style="148" customWidth="1"/>
    <col min="13216" max="13216" width="0.85546875" style="148" customWidth="1"/>
    <col min="13217" max="13218" width="22.7109375" style="148" customWidth="1"/>
    <col min="13219" max="13219" width="0.85546875" style="148" customWidth="1"/>
    <col min="13220" max="13221" width="10.7109375" style="148" customWidth="1"/>
    <col min="13222" max="13222" width="16" style="148" customWidth="1"/>
    <col min="13223" max="13464" width="11.42578125" style="148"/>
    <col min="13465" max="13465" width="4" style="148" customWidth="1"/>
    <col min="13466" max="13466" width="24.7109375" style="148" customWidth="1"/>
    <col min="13467" max="13467" width="0.85546875" style="148" customWidth="1"/>
    <col min="13468" max="13468" width="10.7109375" style="148" customWidth="1"/>
    <col min="13469" max="13469" width="0.85546875" style="148" customWidth="1"/>
    <col min="13470" max="13471" width="22.7109375" style="148" customWidth="1"/>
    <col min="13472" max="13472" width="0.85546875" style="148" customWidth="1"/>
    <col min="13473" max="13474" width="22.7109375" style="148" customWidth="1"/>
    <col min="13475" max="13475" width="0.85546875" style="148" customWidth="1"/>
    <col min="13476" max="13477" width="10.7109375" style="148" customWidth="1"/>
    <col min="13478" max="13478" width="16" style="148" customWidth="1"/>
    <col min="13479" max="13720" width="11.42578125" style="148"/>
    <col min="13721" max="13721" width="4" style="148" customWidth="1"/>
    <col min="13722" max="13722" width="24.7109375" style="148" customWidth="1"/>
    <col min="13723" max="13723" width="0.85546875" style="148" customWidth="1"/>
    <col min="13724" max="13724" width="10.7109375" style="148" customWidth="1"/>
    <col min="13725" max="13725" width="0.85546875" style="148" customWidth="1"/>
    <col min="13726" max="13727" width="22.7109375" style="148" customWidth="1"/>
    <col min="13728" max="13728" width="0.85546875" style="148" customWidth="1"/>
    <col min="13729" max="13730" width="22.7109375" style="148" customWidth="1"/>
    <col min="13731" max="13731" width="0.85546875" style="148" customWidth="1"/>
    <col min="13732" max="13733" width="10.7109375" style="148" customWidth="1"/>
    <col min="13734" max="13734" width="16" style="148" customWidth="1"/>
    <col min="13735" max="13976" width="11.42578125" style="148"/>
    <col min="13977" max="13977" width="4" style="148" customWidth="1"/>
    <col min="13978" max="13978" width="24.7109375" style="148" customWidth="1"/>
    <col min="13979" max="13979" width="0.85546875" style="148" customWidth="1"/>
    <col min="13980" max="13980" width="10.7109375" style="148" customWidth="1"/>
    <col min="13981" max="13981" width="0.85546875" style="148" customWidth="1"/>
    <col min="13982" max="13983" width="22.7109375" style="148" customWidth="1"/>
    <col min="13984" max="13984" width="0.85546875" style="148" customWidth="1"/>
    <col min="13985" max="13986" width="22.7109375" style="148" customWidth="1"/>
    <col min="13987" max="13987" width="0.85546875" style="148" customWidth="1"/>
    <col min="13988" max="13989" width="10.7109375" style="148" customWidth="1"/>
    <col min="13990" max="13990" width="16" style="148" customWidth="1"/>
    <col min="13991" max="14232" width="11.42578125" style="148"/>
    <col min="14233" max="14233" width="4" style="148" customWidth="1"/>
    <col min="14234" max="14234" width="24.7109375" style="148" customWidth="1"/>
    <col min="14235" max="14235" width="0.85546875" style="148" customWidth="1"/>
    <col min="14236" max="14236" width="10.7109375" style="148" customWidth="1"/>
    <col min="14237" max="14237" width="0.85546875" style="148" customWidth="1"/>
    <col min="14238" max="14239" width="22.7109375" style="148" customWidth="1"/>
    <col min="14240" max="14240" width="0.85546875" style="148" customWidth="1"/>
    <col min="14241" max="14242" width="22.7109375" style="148" customWidth="1"/>
    <col min="14243" max="14243" width="0.85546875" style="148" customWidth="1"/>
    <col min="14244" max="14245" width="10.7109375" style="148" customWidth="1"/>
    <col min="14246" max="14246" width="16" style="148" customWidth="1"/>
    <col min="14247" max="14488" width="11.42578125" style="148"/>
    <col min="14489" max="14489" width="4" style="148" customWidth="1"/>
    <col min="14490" max="14490" width="24.7109375" style="148" customWidth="1"/>
    <col min="14491" max="14491" width="0.85546875" style="148" customWidth="1"/>
    <col min="14492" max="14492" width="10.7109375" style="148" customWidth="1"/>
    <col min="14493" max="14493" width="0.85546875" style="148" customWidth="1"/>
    <col min="14494" max="14495" width="22.7109375" style="148" customWidth="1"/>
    <col min="14496" max="14496" width="0.85546875" style="148" customWidth="1"/>
    <col min="14497" max="14498" width="22.7109375" style="148" customWidth="1"/>
    <col min="14499" max="14499" width="0.85546875" style="148" customWidth="1"/>
    <col min="14500" max="14501" width="10.7109375" style="148" customWidth="1"/>
    <col min="14502" max="14502" width="16" style="148" customWidth="1"/>
    <col min="14503" max="14744" width="11.42578125" style="148"/>
    <col min="14745" max="14745" width="4" style="148" customWidth="1"/>
    <col min="14746" max="14746" width="24.7109375" style="148" customWidth="1"/>
    <col min="14747" max="14747" width="0.85546875" style="148" customWidth="1"/>
    <col min="14748" max="14748" width="10.7109375" style="148" customWidth="1"/>
    <col min="14749" max="14749" width="0.85546875" style="148" customWidth="1"/>
    <col min="14750" max="14751" width="22.7109375" style="148" customWidth="1"/>
    <col min="14752" max="14752" width="0.85546875" style="148" customWidth="1"/>
    <col min="14753" max="14754" width="22.7109375" style="148" customWidth="1"/>
    <col min="14755" max="14755" width="0.85546875" style="148" customWidth="1"/>
    <col min="14756" max="14757" width="10.7109375" style="148" customWidth="1"/>
    <col min="14758" max="14758" width="16" style="148" customWidth="1"/>
    <col min="14759" max="15000" width="11.42578125" style="148"/>
    <col min="15001" max="15001" width="4" style="148" customWidth="1"/>
    <col min="15002" max="15002" width="24.7109375" style="148" customWidth="1"/>
    <col min="15003" max="15003" width="0.85546875" style="148" customWidth="1"/>
    <col min="15004" max="15004" width="10.7109375" style="148" customWidth="1"/>
    <col min="15005" max="15005" width="0.85546875" style="148" customWidth="1"/>
    <col min="15006" max="15007" width="22.7109375" style="148" customWidth="1"/>
    <col min="15008" max="15008" width="0.85546875" style="148" customWidth="1"/>
    <col min="15009" max="15010" width="22.7109375" style="148" customWidth="1"/>
    <col min="15011" max="15011" width="0.85546875" style="148" customWidth="1"/>
    <col min="15012" max="15013" width="10.7109375" style="148" customWidth="1"/>
    <col min="15014" max="15014" width="16" style="148" customWidth="1"/>
    <col min="15015" max="15256" width="11.42578125" style="148"/>
    <col min="15257" max="15257" width="4" style="148" customWidth="1"/>
    <col min="15258" max="15258" width="24.7109375" style="148" customWidth="1"/>
    <col min="15259" max="15259" width="0.85546875" style="148" customWidth="1"/>
    <col min="15260" max="15260" width="10.7109375" style="148" customWidth="1"/>
    <col min="15261" max="15261" width="0.85546875" style="148" customWidth="1"/>
    <col min="15262" max="15263" width="22.7109375" style="148" customWidth="1"/>
    <col min="15264" max="15264" width="0.85546875" style="148" customWidth="1"/>
    <col min="15265" max="15266" width="22.7109375" style="148" customWidth="1"/>
    <col min="15267" max="15267" width="0.85546875" style="148" customWidth="1"/>
    <col min="15268" max="15269" width="10.7109375" style="148" customWidth="1"/>
    <col min="15270" max="15270" width="16" style="148" customWidth="1"/>
    <col min="15271" max="15512" width="11.42578125" style="148"/>
    <col min="15513" max="15513" width="4" style="148" customWidth="1"/>
    <col min="15514" max="15514" width="24.7109375" style="148" customWidth="1"/>
    <col min="15515" max="15515" width="0.85546875" style="148" customWidth="1"/>
    <col min="15516" max="15516" width="10.7109375" style="148" customWidth="1"/>
    <col min="15517" max="15517" width="0.85546875" style="148" customWidth="1"/>
    <col min="15518" max="15519" width="22.7109375" style="148" customWidth="1"/>
    <col min="15520" max="15520" width="0.85546875" style="148" customWidth="1"/>
    <col min="15521" max="15522" width="22.7109375" style="148" customWidth="1"/>
    <col min="15523" max="15523" width="0.85546875" style="148" customWidth="1"/>
    <col min="15524" max="15525" width="10.7109375" style="148" customWidth="1"/>
    <col min="15526" max="15526" width="16" style="148" customWidth="1"/>
    <col min="15527" max="15768" width="11.42578125" style="148"/>
    <col min="15769" max="15769" width="4" style="148" customWidth="1"/>
    <col min="15770" max="15770" width="24.7109375" style="148" customWidth="1"/>
    <col min="15771" max="15771" width="0.85546875" style="148" customWidth="1"/>
    <col min="15772" max="15772" width="10.7109375" style="148" customWidth="1"/>
    <col min="15773" max="15773" width="0.85546875" style="148" customWidth="1"/>
    <col min="15774" max="15775" width="22.7109375" style="148" customWidth="1"/>
    <col min="15776" max="15776" width="0.85546875" style="148" customWidth="1"/>
    <col min="15777" max="15778" width="22.7109375" style="148" customWidth="1"/>
    <col min="15779" max="15779" width="0.85546875" style="148" customWidth="1"/>
    <col min="15780" max="15781" width="10.7109375" style="148" customWidth="1"/>
    <col min="15782" max="15782" width="16" style="148" customWidth="1"/>
    <col min="15783" max="16024" width="11.42578125" style="148"/>
    <col min="16025" max="16025" width="4" style="148" customWidth="1"/>
    <col min="16026" max="16026" width="24.7109375" style="148" customWidth="1"/>
    <col min="16027" max="16027" width="0.85546875" style="148" customWidth="1"/>
    <col min="16028" max="16028" width="10.7109375" style="148" customWidth="1"/>
    <col min="16029" max="16029" width="0.85546875" style="148" customWidth="1"/>
    <col min="16030" max="16031" width="22.7109375" style="148" customWidth="1"/>
    <col min="16032" max="16032" width="0.85546875" style="148" customWidth="1"/>
    <col min="16033" max="16034" width="22.7109375" style="148" customWidth="1"/>
    <col min="16035" max="16035" width="0.85546875" style="148" customWidth="1"/>
    <col min="16036" max="16037" width="10.7109375" style="148" customWidth="1"/>
    <col min="16038" max="16038" width="16" style="148" customWidth="1"/>
    <col min="16039" max="16384" width="11.42578125" style="148"/>
  </cols>
  <sheetData>
    <row r="1" spans="2:13" ht="24.95" customHeight="1" x14ac:dyDescent="0.25">
      <c r="B1" s="484"/>
    </row>
    <row r="2" spans="2:13" ht="24.6" customHeight="1" x14ac:dyDescent="0.25">
      <c r="B2" s="883" t="s">
        <v>79</v>
      </c>
      <c r="C2" s="883"/>
      <c r="D2" s="883"/>
      <c r="E2" s="883"/>
      <c r="F2" s="883"/>
      <c r="G2" s="883"/>
      <c r="H2" s="883"/>
      <c r="I2" s="883"/>
      <c r="J2" s="883"/>
      <c r="K2" s="883"/>
      <c r="L2" s="883"/>
      <c r="M2" s="883"/>
    </row>
    <row r="3" spans="2:13" ht="24.95" customHeight="1" x14ac:dyDescent="0.25">
      <c r="B3" s="150"/>
      <c r="C3" s="150"/>
      <c r="D3" s="150"/>
      <c r="E3" s="150"/>
      <c r="F3" s="169"/>
      <c r="G3" s="169"/>
      <c r="H3" s="150"/>
      <c r="I3" s="150"/>
      <c r="J3" s="150"/>
      <c r="K3" s="150"/>
      <c r="L3" s="150"/>
      <c r="M3" s="150"/>
    </row>
    <row r="4" spans="2:13" s="149" customFormat="1" ht="24.95" customHeight="1" x14ac:dyDescent="0.25">
      <c r="B4" s="151"/>
      <c r="C4" s="409"/>
      <c r="F4" s="872" t="s">
        <v>170</v>
      </c>
      <c r="G4" s="873"/>
      <c r="H4" s="265"/>
      <c r="I4" s="872" t="s">
        <v>181</v>
      </c>
      <c r="J4" s="873"/>
      <c r="K4" s="153"/>
      <c r="L4" s="884" t="s">
        <v>69</v>
      </c>
      <c r="M4" s="885"/>
    </row>
    <row r="5" spans="2:13" s="149" customFormat="1" ht="30" customHeight="1" x14ac:dyDescent="0.25">
      <c r="B5" s="147"/>
      <c r="D5" s="170"/>
      <c r="F5" s="257" t="str">
        <f>'Export Val'!D5</f>
        <v>Décembre</v>
      </c>
      <c r="G5" s="257" t="str">
        <f>'Export Val'!E5</f>
        <v>Cumul à fin décembre</v>
      </c>
      <c r="H5" s="270"/>
      <c r="I5" s="538" t="str">
        <f>F5</f>
        <v>Décembre</v>
      </c>
      <c r="J5" s="257" t="str">
        <f>G5</f>
        <v>Cumul à fin décembre</v>
      </c>
      <c r="K5" s="154"/>
      <c r="L5" s="886" t="s">
        <v>4</v>
      </c>
      <c r="M5" s="887"/>
    </row>
    <row r="6" spans="2:13" s="158" customFormat="1" ht="24.95" customHeight="1" x14ac:dyDescent="0.25">
      <c r="B6" s="882" t="s">
        <v>72</v>
      </c>
      <c r="C6" s="882"/>
      <c r="D6" s="882"/>
      <c r="F6" s="155" t="s">
        <v>6</v>
      </c>
      <c r="G6" s="155" t="s">
        <v>7</v>
      </c>
      <c r="H6" s="156"/>
      <c r="I6" s="155" t="s">
        <v>8</v>
      </c>
      <c r="J6" s="155" t="s">
        <v>9</v>
      </c>
      <c r="L6" s="157" t="s">
        <v>162</v>
      </c>
      <c r="M6" s="157" t="s">
        <v>163</v>
      </c>
    </row>
    <row r="7" spans="2:13" ht="24.95" customHeight="1" x14ac:dyDescent="0.25">
      <c r="B7" s="171" t="s">
        <v>29</v>
      </c>
      <c r="D7" s="879" t="s">
        <v>121</v>
      </c>
      <c r="F7" s="83"/>
      <c r="G7" s="83"/>
      <c r="H7" s="156"/>
      <c r="I7" s="83"/>
      <c r="J7" s="83"/>
      <c r="K7" s="161"/>
      <c r="L7" s="172" t="str">
        <f>IFERROR(I7/F7-1,"-")</f>
        <v>-</v>
      </c>
      <c r="M7" s="173" t="str">
        <f>IFERROR(J7/G7-1,"-")</f>
        <v>-</v>
      </c>
    </row>
    <row r="8" spans="2:13" s="168" customFormat="1" ht="24.95" customHeight="1" x14ac:dyDescent="0.25">
      <c r="B8" s="174" t="s">
        <v>73</v>
      </c>
      <c r="D8" s="880"/>
      <c r="E8" s="152"/>
      <c r="F8" s="29"/>
      <c r="G8" s="29"/>
      <c r="H8" s="156"/>
      <c r="I8" s="29"/>
      <c r="J8" s="29"/>
      <c r="K8" s="161"/>
      <c r="L8" s="175" t="str">
        <f t="shared" ref="L8:L10" si="0">IFERROR(I8/F8-1,"-")</f>
        <v>-</v>
      </c>
      <c r="M8" s="176" t="str">
        <f t="shared" ref="M8:M10" si="1">IFERROR(J8/G8-1,"-")</f>
        <v>-</v>
      </c>
    </row>
    <row r="9" spans="2:13" s="168" customFormat="1" ht="24.95" customHeight="1" x14ac:dyDescent="0.25">
      <c r="B9" s="174" t="s">
        <v>75</v>
      </c>
      <c r="D9" s="880"/>
      <c r="E9" s="152"/>
      <c r="F9" s="30"/>
      <c r="G9" s="30"/>
      <c r="H9" s="156"/>
      <c r="I9" s="30"/>
      <c r="J9" s="30"/>
      <c r="K9" s="161"/>
      <c r="L9" s="469" t="str">
        <f t="shared" si="0"/>
        <v>-</v>
      </c>
      <c r="M9" s="470" t="str">
        <f t="shared" si="1"/>
        <v>-</v>
      </c>
    </row>
    <row r="10" spans="2:13" s="159" customFormat="1" ht="24.95" customHeight="1" x14ac:dyDescent="0.25">
      <c r="B10" s="162" t="s">
        <v>80</v>
      </c>
      <c r="D10" s="881"/>
      <c r="E10" s="164"/>
      <c r="F10" s="163"/>
      <c r="G10" s="163"/>
      <c r="H10" s="156"/>
      <c r="I10" s="163"/>
      <c r="J10" s="163"/>
      <c r="K10" s="160"/>
      <c r="L10" s="175" t="str">
        <f t="shared" si="0"/>
        <v>-</v>
      </c>
      <c r="M10" s="681" t="str">
        <f t="shared" si="1"/>
        <v>-</v>
      </c>
    </row>
    <row r="11" spans="2:13" s="164" customFormat="1" ht="16.7" customHeight="1" x14ac:dyDescent="0.25">
      <c r="F11" s="134"/>
      <c r="G11" s="177"/>
      <c r="H11" s="156"/>
      <c r="I11" s="134"/>
      <c r="J11" s="178"/>
      <c r="K11" s="166"/>
      <c r="L11" s="467"/>
      <c r="M11" s="467"/>
    </row>
    <row r="12" spans="2:13" s="164" customFormat="1" ht="10.9" customHeight="1" x14ac:dyDescent="0.25">
      <c r="B12" s="179"/>
      <c r="D12" s="167"/>
      <c r="E12" s="180"/>
      <c r="F12" s="165"/>
      <c r="G12" s="165"/>
      <c r="H12" s="156"/>
      <c r="I12" s="165"/>
      <c r="J12" s="165"/>
      <c r="K12" s="161"/>
      <c r="L12" s="181"/>
      <c r="M12" s="181"/>
    </row>
    <row r="13" spans="2:13" s="182" customFormat="1" ht="24.95" customHeight="1" x14ac:dyDescent="0.25">
      <c r="B13" s="882" t="s">
        <v>78</v>
      </c>
      <c r="C13" s="882"/>
      <c r="D13" s="882"/>
      <c r="F13" s="166"/>
      <c r="G13" s="166"/>
      <c r="H13" s="156"/>
      <c r="I13" s="166"/>
      <c r="J13" s="166"/>
      <c r="K13" s="166"/>
      <c r="L13" s="468"/>
      <c r="M13" s="468"/>
    </row>
    <row r="14" spans="2:13" ht="24.95" customHeight="1" x14ac:dyDescent="0.25">
      <c r="B14" s="171" t="s">
        <v>29</v>
      </c>
      <c r="D14" s="879" t="s">
        <v>121</v>
      </c>
      <c r="F14" s="83"/>
      <c r="G14" s="83"/>
      <c r="H14" s="156"/>
      <c r="I14" s="697"/>
      <c r="J14" s="589"/>
      <c r="K14" s="161"/>
      <c r="L14" s="172" t="str">
        <f t="shared" ref="L14:L17" si="2">IFERROR(I14/F14-1,"-")</f>
        <v>-</v>
      </c>
      <c r="M14" s="173" t="str">
        <f t="shared" ref="M14:M17" si="3">IFERROR(J14/G14-1,"-")</f>
        <v>-</v>
      </c>
    </row>
    <row r="15" spans="2:13" s="159" customFormat="1" ht="24.95" customHeight="1" x14ac:dyDescent="0.25">
      <c r="B15" s="174" t="s">
        <v>73</v>
      </c>
      <c r="C15" s="168"/>
      <c r="D15" s="880"/>
      <c r="E15" s="152"/>
      <c r="F15" s="29"/>
      <c r="G15" s="29"/>
      <c r="H15" s="156"/>
      <c r="I15" s="29"/>
      <c r="J15" s="31"/>
      <c r="K15" s="161"/>
      <c r="L15" s="175" t="str">
        <f t="shared" si="2"/>
        <v>-</v>
      </c>
      <c r="M15" s="176" t="str">
        <f>IFERROR(J15/G15-1,"-")</f>
        <v>-</v>
      </c>
    </row>
    <row r="16" spans="2:13" s="168" customFormat="1" ht="24.95" customHeight="1" x14ac:dyDescent="0.25">
      <c r="B16" s="174" t="s">
        <v>75</v>
      </c>
      <c r="D16" s="880"/>
      <c r="E16" s="152"/>
      <c r="F16" s="30"/>
      <c r="G16" s="30"/>
      <c r="H16" s="156"/>
      <c r="I16" s="250"/>
      <c r="J16" s="590"/>
      <c r="K16" s="161"/>
      <c r="L16" s="469" t="str">
        <f t="shared" si="2"/>
        <v>-</v>
      </c>
      <c r="M16" s="470" t="str">
        <f t="shared" si="3"/>
        <v>-</v>
      </c>
    </row>
    <row r="17" spans="2:13" s="159" customFormat="1" ht="24.95" customHeight="1" x14ac:dyDescent="0.25">
      <c r="B17" s="162" t="s">
        <v>80</v>
      </c>
      <c r="D17" s="881"/>
      <c r="E17" s="164"/>
      <c r="F17" s="163"/>
      <c r="G17" s="163"/>
      <c r="H17" s="156"/>
      <c r="I17" s="591"/>
      <c r="J17" s="163"/>
      <c r="K17" s="160"/>
      <c r="L17" s="469" t="str">
        <f t="shared" si="2"/>
        <v>-</v>
      </c>
      <c r="M17" s="470" t="str">
        <f t="shared" si="3"/>
        <v>-</v>
      </c>
    </row>
  </sheetData>
  <mergeCells count="9">
    <mergeCell ref="D14:D17"/>
    <mergeCell ref="D7:D10"/>
    <mergeCell ref="B13:D13"/>
    <mergeCell ref="B2:M2"/>
    <mergeCell ref="F4:G4"/>
    <mergeCell ref="I4:J4"/>
    <mergeCell ref="L4:M4"/>
    <mergeCell ref="L5:M5"/>
    <mergeCell ref="B6:D6"/>
  </mergeCells>
  <printOptions horizontalCentered="1" verticalCentered="1"/>
  <pageMargins left="0.39370078740157483" right="0.39370078740157483" top="0.39370078740157483" bottom="0.39370078740157483" header="0.31496062992125984" footer="0.31496062992125984"/>
  <pageSetup paperSize="9" orientation="landscape" r:id="rId1"/>
  <headerFooter>
    <oddFooter>&amp;LDCP SPE &amp;R&amp;P</oddFooter>
  </headerFooter>
  <customProperties>
    <customPr name="EpmWorksheetKeyString_GUID" r:id="rId2"/>
  </customProperties>
  <ignoredErrors>
    <ignoredError sqref="F6:J6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U46"/>
  <sheetViews>
    <sheetView showGridLines="0" view="pageBreakPreview" zoomScale="85" zoomScaleNormal="80" zoomScaleSheetLayoutView="85" workbookViewId="0">
      <selection activeCell="F8" sqref="F8:O25"/>
    </sheetView>
  </sheetViews>
  <sheetFormatPr baseColWidth="10" defaultColWidth="11.42578125" defaultRowHeight="12.75" x14ac:dyDescent="0.25"/>
  <cols>
    <col min="1" max="1" width="4" style="261" customWidth="1"/>
    <col min="2" max="2" width="22.85546875" style="359" customWidth="1"/>
    <col min="3" max="3" width="0.85546875" style="261" customWidth="1"/>
    <col min="4" max="4" width="8.7109375" style="40" customWidth="1"/>
    <col min="5" max="5" width="0.85546875" style="135" customWidth="1"/>
    <col min="6" max="6" width="15.7109375" style="135" customWidth="1"/>
    <col min="7" max="7" width="15.7109375" style="261" customWidth="1"/>
    <col min="8" max="8" width="0.85546875" style="261" customWidth="1"/>
    <col min="9" max="10" width="15.7109375" style="261" customWidth="1"/>
    <col min="11" max="11" width="0.85546875" style="261" customWidth="1"/>
    <col min="12" max="13" width="15.7109375" style="261" customWidth="1"/>
    <col min="14" max="14" width="0.85546875" style="261" customWidth="1"/>
    <col min="15" max="15" width="15.7109375" style="261" customWidth="1"/>
    <col min="16" max="16" width="0.85546875" style="261" customWidth="1"/>
    <col min="17" max="21" width="7.7109375" style="261" customWidth="1"/>
    <col min="22" max="108" width="11.42578125" style="261"/>
    <col min="109" max="109" width="4" style="261" customWidth="1"/>
    <col min="110" max="110" width="25.7109375" style="261" customWidth="1"/>
    <col min="111" max="111" width="0.85546875" style="261" customWidth="1"/>
    <col min="112" max="112" width="8.7109375" style="261" customWidth="1"/>
    <col min="113" max="113" width="0.85546875" style="261" customWidth="1"/>
    <col min="114" max="114" width="14.7109375" style="261" customWidth="1"/>
    <col min="115" max="115" width="20" style="261" customWidth="1"/>
    <col min="116" max="116" width="0.85546875" style="261" customWidth="1"/>
    <col min="117" max="118" width="14.7109375" style="261" customWidth="1"/>
    <col min="119" max="119" width="0.85546875" style="261" customWidth="1"/>
    <col min="120" max="121" width="14.7109375" style="261" customWidth="1"/>
    <col min="122" max="122" width="0.85546875" style="261" customWidth="1"/>
    <col min="123" max="123" width="14.7109375" style="261" customWidth="1"/>
    <col min="124" max="124" width="0.85546875" style="261" customWidth="1"/>
    <col min="125" max="129" width="6.7109375" style="261" customWidth="1"/>
    <col min="130" max="364" width="11.42578125" style="261"/>
    <col min="365" max="365" width="4" style="261" customWidth="1"/>
    <col min="366" max="366" width="25.7109375" style="261" customWidth="1"/>
    <col min="367" max="367" width="0.85546875" style="261" customWidth="1"/>
    <col min="368" max="368" width="8.7109375" style="261" customWidth="1"/>
    <col min="369" max="369" width="0.85546875" style="261" customWidth="1"/>
    <col min="370" max="370" width="14.7109375" style="261" customWidth="1"/>
    <col min="371" max="371" width="20" style="261" customWidth="1"/>
    <col min="372" max="372" width="0.85546875" style="261" customWidth="1"/>
    <col min="373" max="374" width="14.7109375" style="261" customWidth="1"/>
    <col min="375" max="375" width="0.85546875" style="261" customWidth="1"/>
    <col min="376" max="377" width="14.7109375" style="261" customWidth="1"/>
    <col min="378" max="378" width="0.85546875" style="261" customWidth="1"/>
    <col min="379" max="379" width="14.7109375" style="261" customWidth="1"/>
    <col min="380" max="380" width="0.85546875" style="261" customWidth="1"/>
    <col min="381" max="385" width="6.7109375" style="261" customWidth="1"/>
    <col min="386" max="620" width="11.42578125" style="261"/>
    <col min="621" max="621" width="4" style="261" customWidth="1"/>
    <col min="622" max="622" width="25.7109375" style="261" customWidth="1"/>
    <col min="623" max="623" width="0.85546875" style="261" customWidth="1"/>
    <col min="624" max="624" width="8.7109375" style="261" customWidth="1"/>
    <col min="625" max="625" width="0.85546875" style="261" customWidth="1"/>
    <col min="626" max="626" width="14.7109375" style="261" customWidth="1"/>
    <col min="627" max="627" width="20" style="261" customWidth="1"/>
    <col min="628" max="628" width="0.85546875" style="261" customWidth="1"/>
    <col min="629" max="630" width="14.7109375" style="261" customWidth="1"/>
    <col min="631" max="631" width="0.85546875" style="261" customWidth="1"/>
    <col min="632" max="633" width="14.7109375" style="261" customWidth="1"/>
    <col min="634" max="634" width="0.85546875" style="261" customWidth="1"/>
    <col min="635" max="635" width="14.7109375" style="261" customWidth="1"/>
    <col min="636" max="636" width="0.85546875" style="261" customWidth="1"/>
    <col min="637" max="641" width="6.7109375" style="261" customWidth="1"/>
    <col min="642" max="876" width="11.42578125" style="261"/>
    <col min="877" max="877" width="4" style="261" customWidth="1"/>
    <col min="878" max="878" width="25.7109375" style="261" customWidth="1"/>
    <col min="879" max="879" width="0.85546875" style="261" customWidth="1"/>
    <col min="880" max="880" width="8.7109375" style="261" customWidth="1"/>
    <col min="881" max="881" width="0.85546875" style="261" customWidth="1"/>
    <col min="882" max="882" width="14.7109375" style="261" customWidth="1"/>
    <col min="883" max="883" width="20" style="261" customWidth="1"/>
    <col min="884" max="884" width="0.85546875" style="261" customWidth="1"/>
    <col min="885" max="886" width="14.7109375" style="261" customWidth="1"/>
    <col min="887" max="887" width="0.85546875" style="261" customWidth="1"/>
    <col min="888" max="889" width="14.7109375" style="261" customWidth="1"/>
    <col min="890" max="890" width="0.85546875" style="261" customWidth="1"/>
    <col min="891" max="891" width="14.7109375" style="261" customWidth="1"/>
    <col min="892" max="892" width="0.85546875" style="261" customWidth="1"/>
    <col min="893" max="897" width="6.7109375" style="261" customWidth="1"/>
    <col min="898" max="1132" width="11.42578125" style="261"/>
    <col min="1133" max="1133" width="4" style="261" customWidth="1"/>
    <col min="1134" max="1134" width="25.7109375" style="261" customWidth="1"/>
    <col min="1135" max="1135" width="0.85546875" style="261" customWidth="1"/>
    <col min="1136" max="1136" width="8.7109375" style="261" customWidth="1"/>
    <col min="1137" max="1137" width="0.85546875" style="261" customWidth="1"/>
    <col min="1138" max="1138" width="14.7109375" style="261" customWidth="1"/>
    <col min="1139" max="1139" width="20" style="261" customWidth="1"/>
    <col min="1140" max="1140" width="0.85546875" style="261" customWidth="1"/>
    <col min="1141" max="1142" width="14.7109375" style="261" customWidth="1"/>
    <col min="1143" max="1143" width="0.85546875" style="261" customWidth="1"/>
    <col min="1144" max="1145" width="14.7109375" style="261" customWidth="1"/>
    <col min="1146" max="1146" width="0.85546875" style="261" customWidth="1"/>
    <col min="1147" max="1147" width="14.7109375" style="261" customWidth="1"/>
    <col min="1148" max="1148" width="0.85546875" style="261" customWidth="1"/>
    <col min="1149" max="1153" width="6.7109375" style="261" customWidth="1"/>
    <col min="1154" max="1388" width="11.42578125" style="261"/>
    <col min="1389" max="1389" width="4" style="261" customWidth="1"/>
    <col min="1390" max="1390" width="25.7109375" style="261" customWidth="1"/>
    <col min="1391" max="1391" width="0.85546875" style="261" customWidth="1"/>
    <col min="1392" max="1392" width="8.7109375" style="261" customWidth="1"/>
    <col min="1393" max="1393" width="0.85546875" style="261" customWidth="1"/>
    <col min="1394" max="1394" width="14.7109375" style="261" customWidth="1"/>
    <col min="1395" max="1395" width="20" style="261" customWidth="1"/>
    <col min="1396" max="1396" width="0.85546875" style="261" customWidth="1"/>
    <col min="1397" max="1398" width="14.7109375" style="261" customWidth="1"/>
    <col min="1399" max="1399" width="0.85546875" style="261" customWidth="1"/>
    <col min="1400" max="1401" width="14.7109375" style="261" customWidth="1"/>
    <col min="1402" max="1402" width="0.85546875" style="261" customWidth="1"/>
    <col min="1403" max="1403" width="14.7109375" style="261" customWidth="1"/>
    <col min="1404" max="1404" width="0.85546875" style="261" customWidth="1"/>
    <col min="1405" max="1409" width="6.7109375" style="261" customWidth="1"/>
    <col min="1410" max="1644" width="11.42578125" style="261"/>
    <col min="1645" max="1645" width="4" style="261" customWidth="1"/>
    <col min="1646" max="1646" width="25.7109375" style="261" customWidth="1"/>
    <col min="1647" max="1647" width="0.85546875" style="261" customWidth="1"/>
    <col min="1648" max="1648" width="8.7109375" style="261" customWidth="1"/>
    <col min="1649" max="1649" width="0.85546875" style="261" customWidth="1"/>
    <col min="1650" max="1650" width="14.7109375" style="261" customWidth="1"/>
    <col min="1651" max="1651" width="20" style="261" customWidth="1"/>
    <col min="1652" max="1652" width="0.85546875" style="261" customWidth="1"/>
    <col min="1653" max="1654" width="14.7109375" style="261" customWidth="1"/>
    <col min="1655" max="1655" width="0.85546875" style="261" customWidth="1"/>
    <col min="1656" max="1657" width="14.7109375" style="261" customWidth="1"/>
    <col min="1658" max="1658" width="0.85546875" style="261" customWidth="1"/>
    <col min="1659" max="1659" width="14.7109375" style="261" customWidth="1"/>
    <col min="1660" max="1660" width="0.85546875" style="261" customWidth="1"/>
    <col min="1661" max="1665" width="6.7109375" style="261" customWidth="1"/>
    <col min="1666" max="1900" width="11.42578125" style="261"/>
    <col min="1901" max="1901" width="4" style="261" customWidth="1"/>
    <col min="1902" max="1902" width="25.7109375" style="261" customWidth="1"/>
    <col min="1903" max="1903" width="0.85546875" style="261" customWidth="1"/>
    <col min="1904" max="1904" width="8.7109375" style="261" customWidth="1"/>
    <col min="1905" max="1905" width="0.85546875" style="261" customWidth="1"/>
    <col min="1906" max="1906" width="14.7109375" style="261" customWidth="1"/>
    <col min="1907" max="1907" width="20" style="261" customWidth="1"/>
    <col min="1908" max="1908" width="0.85546875" style="261" customWidth="1"/>
    <col min="1909" max="1910" width="14.7109375" style="261" customWidth="1"/>
    <col min="1911" max="1911" width="0.85546875" style="261" customWidth="1"/>
    <col min="1912" max="1913" width="14.7109375" style="261" customWidth="1"/>
    <col min="1914" max="1914" width="0.85546875" style="261" customWidth="1"/>
    <col min="1915" max="1915" width="14.7109375" style="261" customWidth="1"/>
    <col min="1916" max="1916" width="0.85546875" style="261" customWidth="1"/>
    <col min="1917" max="1921" width="6.7109375" style="261" customWidth="1"/>
    <col min="1922" max="2156" width="11.42578125" style="261"/>
    <col min="2157" max="2157" width="4" style="261" customWidth="1"/>
    <col min="2158" max="2158" width="25.7109375" style="261" customWidth="1"/>
    <col min="2159" max="2159" width="0.85546875" style="261" customWidth="1"/>
    <col min="2160" max="2160" width="8.7109375" style="261" customWidth="1"/>
    <col min="2161" max="2161" width="0.85546875" style="261" customWidth="1"/>
    <col min="2162" max="2162" width="14.7109375" style="261" customWidth="1"/>
    <col min="2163" max="2163" width="20" style="261" customWidth="1"/>
    <col min="2164" max="2164" width="0.85546875" style="261" customWidth="1"/>
    <col min="2165" max="2166" width="14.7109375" style="261" customWidth="1"/>
    <col min="2167" max="2167" width="0.85546875" style="261" customWidth="1"/>
    <col min="2168" max="2169" width="14.7109375" style="261" customWidth="1"/>
    <col min="2170" max="2170" width="0.85546875" style="261" customWidth="1"/>
    <col min="2171" max="2171" width="14.7109375" style="261" customWidth="1"/>
    <col min="2172" max="2172" width="0.85546875" style="261" customWidth="1"/>
    <col min="2173" max="2177" width="6.7109375" style="261" customWidth="1"/>
    <col min="2178" max="2412" width="11.42578125" style="261"/>
    <col min="2413" max="2413" width="4" style="261" customWidth="1"/>
    <col min="2414" max="2414" width="25.7109375" style="261" customWidth="1"/>
    <col min="2415" max="2415" width="0.85546875" style="261" customWidth="1"/>
    <col min="2416" max="2416" width="8.7109375" style="261" customWidth="1"/>
    <col min="2417" max="2417" width="0.85546875" style="261" customWidth="1"/>
    <col min="2418" max="2418" width="14.7109375" style="261" customWidth="1"/>
    <col min="2419" max="2419" width="20" style="261" customWidth="1"/>
    <col min="2420" max="2420" width="0.85546875" style="261" customWidth="1"/>
    <col min="2421" max="2422" width="14.7109375" style="261" customWidth="1"/>
    <col min="2423" max="2423" width="0.85546875" style="261" customWidth="1"/>
    <col min="2424" max="2425" width="14.7109375" style="261" customWidth="1"/>
    <col min="2426" max="2426" width="0.85546875" style="261" customWidth="1"/>
    <col min="2427" max="2427" width="14.7109375" style="261" customWidth="1"/>
    <col min="2428" max="2428" width="0.85546875" style="261" customWidth="1"/>
    <col min="2429" max="2433" width="6.7109375" style="261" customWidth="1"/>
    <col min="2434" max="2668" width="11.42578125" style="261"/>
    <col min="2669" max="2669" width="4" style="261" customWidth="1"/>
    <col min="2670" max="2670" width="25.7109375" style="261" customWidth="1"/>
    <col min="2671" max="2671" width="0.85546875" style="261" customWidth="1"/>
    <col min="2672" max="2672" width="8.7109375" style="261" customWidth="1"/>
    <col min="2673" max="2673" width="0.85546875" style="261" customWidth="1"/>
    <col min="2674" max="2674" width="14.7109375" style="261" customWidth="1"/>
    <col min="2675" max="2675" width="20" style="261" customWidth="1"/>
    <col min="2676" max="2676" width="0.85546875" style="261" customWidth="1"/>
    <col min="2677" max="2678" width="14.7109375" style="261" customWidth="1"/>
    <col min="2679" max="2679" width="0.85546875" style="261" customWidth="1"/>
    <col min="2680" max="2681" width="14.7109375" style="261" customWidth="1"/>
    <col min="2682" max="2682" width="0.85546875" style="261" customWidth="1"/>
    <col min="2683" max="2683" width="14.7109375" style="261" customWidth="1"/>
    <col min="2684" max="2684" width="0.85546875" style="261" customWidth="1"/>
    <col min="2685" max="2689" width="6.7109375" style="261" customWidth="1"/>
    <col min="2690" max="2924" width="11.42578125" style="261"/>
    <col min="2925" max="2925" width="4" style="261" customWidth="1"/>
    <col min="2926" max="2926" width="25.7109375" style="261" customWidth="1"/>
    <col min="2927" max="2927" width="0.85546875" style="261" customWidth="1"/>
    <col min="2928" max="2928" width="8.7109375" style="261" customWidth="1"/>
    <col min="2929" max="2929" width="0.85546875" style="261" customWidth="1"/>
    <col min="2930" max="2930" width="14.7109375" style="261" customWidth="1"/>
    <col min="2931" max="2931" width="20" style="261" customWidth="1"/>
    <col min="2932" max="2932" width="0.85546875" style="261" customWidth="1"/>
    <col min="2933" max="2934" width="14.7109375" style="261" customWidth="1"/>
    <col min="2935" max="2935" width="0.85546875" style="261" customWidth="1"/>
    <col min="2936" max="2937" width="14.7109375" style="261" customWidth="1"/>
    <col min="2938" max="2938" width="0.85546875" style="261" customWidth="1"/>
    <col min="2939" max="2939" width="14.7109375" style="261" customWidth="1"/>
    <col min="2940" max="2940" width="0.85546875" style="261" customWidth="1"/>
    <col min="2941" max="2945" width="6.7109375" style="261" customWidth="1"/>
    <col min="2946" max="3180" width="11.42578125" style="261"/>
    <col min="3181" max="3181" width="4" style="261" customWidth="1"/>
    <col min="3182" max="3182" width="25.7109375" style="261" customWidth="1"/>
    <col min="3183" max="3183" width="0.85546875" style="261" customWidth="1"/>
    <col min="3184" max="3184" width="8.7109375" style="261" customWidth="1"/>
    <col min="3185" max="3185" width="0.85546875" style="261" customWidth="1"/>
    <col min="3186" max="3186" width="14.7109375" style="261" customWidth="1"/>
    <col min="3187" max="3187" width="20" style="261" customWidth="1"/>
    <col min="3188" max="3188" width="0.85546875" style="261" customWidth="1"/>
    <col min="3189" max="3190" width="14.7109375" style="261" customWidth="1"/>
    <col min="3191" max="3191" width="0.85546875" style="261" customWidth="1"/>
    <col min="3192" max="3193" width="14.7109375" style="261" customWidth="1"/>
    <col min="3194" max="3194" width="0.85546875" style="261" customWidth="1"/>
    <col min="3195" max="3195" width="14.7109375" style="261" customWidth="1"/>
    <col min="3196" max="3196" width="0.85546875" style="261" customWidth="1"/>
    <col min="3197" max="3201" width="6.7109375" style="261" customWidth="1"/>
    <col min="3202" max="3436" width="11.42578125" style="261"/>
    <col min="3437" max="3437" width="4" style="261" customWidth="1"/>
    <col min="3438" max="3438" width="25.7109375" style="261" customWidth="1"/>
    <col min="3439" max="3439" width="0.85546875" style="261" customWidth="1"/>
    <col min="3440" max="3440" width="8.7109375" style="261" customWidth="1"/>
    <col min="3441" max="3441" width="0.85546875" style="261" customWidth="1"/>
    <col min="3442" max="3442" width="14.7109375" style="261" customWidth="1"/>
    <col min="3443" max="3443" width="20" style="261" customWidth="1"/>
    <col min="3444" max="3444" width="0.85546875" style="261" customWidth="1"/>
    <col min="3445" max="3446" width="14.7109375" style="261" customWidth="1"/>
    <col min="3447" max="3447" width="0.85546875" style="261" customWidth="1"/>
    <col min="3448" max="3449" width="14.7109375" style="261" customWidth="1"/>
    <col min="3450" max="3450" width="0.85546875" style="261" customWidth="1"/>
    <col min="3451" max="3451" width="14.7109375" style="261" customWidth="1"/>
    <col min="3452" max="3452" width="0.85546875" style="261" customWidth="1"/>
    <col min="3453" max="3457" width="6.7109375" style="261" customWidth="1"/>
    <col min="3458" max="3692" width="11.42578125" style="261"/>
    <col min="3693" max="3693" width="4" style="261" customWidth="1"/>
    <col min="3694" max="3694" width="25.7109375" style="261" customWidth="1"/>
    <col min="3695" max="3695" width="0.85546875" style="261" customWidth="1"/>
    <col min="3696" max="3696" width="8.7109375" style="261" customWidth="1"/>
    <col min="3697" max="3697" width="0.85546875" style="261" customWidth="1"/>
    <col min="3698" max="3698" width="14.7109375" style="261" customWidth="1"/>
    <col min="3699" max="3699" width="20" style="261" customWidth="1"/>
    <col min="3700" max="3700" width="0.85546875" style="261" customWidth="1"/>
    <col min="3701" max="3702" width="14.7109375" style="261" customWidth="1"/>
    <col min="3703" max="3703" width="0.85546875" style="261" customWidth="1"/>
    <col min="3704" max="3705" width="14.7109375" style="261" customWidth="1"/>
    <col min="3706" max="3706" width="0.85546875" style="261" customWidth="1"/>
    <col min="3707" max="3707" width="14.7109375" style="261" customWidth="1"/>
    <col min="3708" max="3708" width="0.85546875" style="261" customWidth="1"/>
    <col min="3709" max="3713" width="6.7109375" style="261" customWidth="1"/>
    <col min="3714" max="3948" width="11.42578125" style="261"/>
    <col min="3949" max="3949" width="4" style="261" customWidth="1"/>
    <col min="3950" max="3950" width="25.7109375" style="261" customWidth="1"/>
    <col min="3951" max="3951" width="0.85546875" style="261" customWidth="1"/>
    <col min="3952" max="3952" width="8.7109375" style="261" customWidth="1"/>
    <col min="3953" max="3953" width="0.85546875" style="261" customWidth="1"/>
    <col min="3954" max="3954" width="14.7109375" style="261" customWidth="1"/>
    <col min="3955" max="3955" width="20" style="261" customWidth="1"/>
    <col min="3956" max="3956" width="0.85546875" style="261" customWidth="1"/>
    <col min="3957" max="3958" width="14.7109375" style="261" customWidth="1"/>
    <col min="3959" max="3959" width="0.85546875" style="261" customWidth="1"/>
    <col min="3960" max="3961" width="14.7109375" style="261" customWidth="1"/>
    <col min="3962" max="3962" width="0.85546875" style="261" customWidth="1"/>
    <col min="3963" max="3963" width="14.7109375" style="261" customWidth="1"/>
    <col min="3964" max="3964" width="0.85546875" style="261" customWidth="1"/>
    <col min="3965" max="3969" width="6.7109375" style="261" customWidth="1"/>
    <col min="3970" max="4204" width="11.42578125" style="261"/>
    <col min="4205" max="4205" width="4" style="261" customWidth="1"/>
    <col min="4206" max="4206" width="25.7109375" style="261" customWidth="1"/>
    <col min="4207" max="4207" width="0.85546875" style="261" customWidth="1"/>
    <col min="4208" max="4208" width="8.7109375" style="261" customWidth="1"/>
    <col min="4209" max="4209" width="0.85546875" style="261" customWidth="1"/>
    <col min="4210" max="4210" width="14.7109375" style="261" customWidth="1"/>
    <col min="4211" max="4211" width="20" style="261" customWidth="1"/>
    <col min="4212" max="4212" width="0.85546875" style="261" customWidth="1"/>
    <col min="4213" max="4214" width="14.7109375" style="261" customWidth="1"/>
    <col min="4215" max="4215" width="0.85546875" style="261" customWidth="1"/>
    <col min="4216" max="4217" width="14.7109375" style="261" customWidth="1"/>
    <col min="4218" max="4218" width="0.85546875" style="261" customWidth="1"/>
    <col min="4219" max="4219" width="14.7109375" style="261" customWidth="1"/>
    <col min="4220" max="4220" width="0.85546875" style="261" customWidth="1"/>
    <col min="4221" max="4225" width="6.7109375" style="261" customWidth="1"/>
    <col min="4226" max="4460" width="11.42578125" style="261"/>
    <col min="4461" max="4461" width="4" style="261" customWidth="1"/>
    <col min="4462" max="4462" width="25.7109375" style="261" customWidth="1"/>
    <col min="4463" max="4463" width="0.85546875" style="261" customWidth="1"/>
    <col min="4464" max="4464" width="8.7109375" style="261" customWidth="1"/>
    <col min="4465" max="4465" width="0.85546875" style="261" customWidth="1"/>
    <col min="4466" max="4466" width="14.7109375" style="261" customWidth="1"/>
    <col min="4467" max="4467" width="20" style="261" customWidth="1"/>
    <col min="4468" max="4468" width="0.85546875" style="261" customWidth="1"/>
    <col min="4469" max="4470" width="14.7109375" style="261" customWidth="1"/>
    <col min="4471" max="4471" width="0.85546875" style="261" customWidth="1"/>
    <col min="4472" max="4473" width="14.7109375" style="261" customWidth="1"/>
    <col min="4474" max="4474" width="0.85546875" style="261" customWidth="1"/>
    <col min="4475" max="4475" width="14.7109375" style="261" customWidth="1"/>
    <col min="4476" max="4476" width="0.85546875" style="261" customWidth="1"/>
    <col min="4477" max="4481" width="6.7109375" style="261" customWidth="1"/>
    <col min="4482" max="4716" width="11.42578125" style="261"/>
    <col min="4717" max="4717" width="4" style="261" customWidth="1"/>
    <col min="4718" max="4718" width="25.7109375" style="261" customWidth="1"/>
    <col min="4719" max="4719" width="0.85546875" style="261" customWidth="1"/>
    <col min="4720" max="4720" width="8.7109375" style="261" customWidth="1"/>
    <col min="4721" max="4721" width="0.85546875" style="261" customWidth="1"/>
    <col min="4722" max="4722" width="14.7109375" style="261" customWidth="1"/>
    <col min="4723" max="4723" width="20" style="261" customWidth="1"/>
    <col min="4724" max="4724" width="0.85546875" style="261" customWidth="1"/>
    <col min="4725" max="4726" width="14.7109375" style="261" customWidth="1"/>
    <col min="4727" max="4727" width="0.85546875" style="261" customWidth="1"/>
    <col min="4728" max="4729" width="14.7109375" style="261" customWidth="1"/>
    <col min="4730" max="4730" width="0.85546875" style="261" customWidth="1"/>
    <col min="4731" max="4731" width="14.7109375" style="261" customWidth="1"/>
    <col min="4732" max="4732" width="0.85546875" style="261" customWidth="1"/>
    <col min="4733" max="4737" width="6.7109375" style="261" customWidth="1"/>
    <col min="4738" max="4972" width="11.42578125" style="261"/>
    <col min="4973" max="4973" width="4" style="261" customWidth="1"/>
    <col min="4974" max="4974" width="25.7109375" style="261" customWidth="1"/>
    <col min="4975" max="4975" width="0.85546875" style="261" customWidth="1"/>
    <col min="4976" max="4976" width="8.7109375" style="261" customWidth="1"/>
    <col min="4977" max="4977" width="0.85546875" style="261" customWidth="1"/>
    <col min="4978" max="4978" width="14.7109375" style="261" customWidth="1"/>
    <col min="4979" max="4979" width="20" style="261" customWidth="1"/>
    <col min="4980" max="4980" width="0.85546875" style="261" customWidth="1"/>
    <col min="4981" max="4982" width="14.7109375" style="261" customWidth="1"/>
    <col min="4983" max="4983" width="0.85546875" style="261" customWidth="1"/>
    <col min="4984" max="4985" width="14.7109375" style="261" customWidth="1"/>
    <col min="4986" max="4986" width="0.85546875" style="261" customWidth="1"/>
    <col min="4987" max="4987" width="14.7109375" style="261" customWidth="1"/>
    <col min="4988" max="4988" width="0.85546875" style="261" customWidth="1"/>
    <col min="4989" max="4993" width="6.7109375" style="261" customWidth="1"/>
    <col min="4994" max="5228" width="11.42578125" style="261"/>
    <col min="5229" max="5229" width="4" style="261" customWidth="1"/>
    <col min="5230" max="5230" width="25.7109375" style="261" customWidth="1"/>
    <col min="5231" max="5231" width="0.85546875" style="261" customWidth="1"/>
    <col min="5232" max="5232" width="8.7109375" style="261" customWidth="1"/>
    <col min="5233" max="5233" width="0.85546875" style="261" customWidth="1"/>
    <col min="5234" max="5234" width="14.7109375" style="261" customWidth="1"/>
    <col min="5235" max="5235" width="20" style="261" customWidth="1"/>
    <col min="5236" max="5236" width="0.85546875" style="261" customWidth="1"/>
    <col min="5237" max="5238" width="14.7109375" style="261" customWidth="1"/>
    <col min="5239" max="5239" width="0.85546875" style="261" customWidth="1"/>
    <col min="5240" max="5241" width="14.7109375" style="261" customWidth="1"/>
    <col min="5242" max="5242" width="0.85546875" style="261" customWidth="1"/>
    <col min="5243" max="5243" width="14.7109375" style="261" customWidth="1"/>
    <col min="5244" max="5244" width="0.85546875" style="261" customWidth="1"/>
    <col min="5245" max="5249" width="6.7109375" style="261" customWidth="1"/>
    <col min="5250" max="5484" width="11.42578125" style="261"/>
    <col min="5485" max="5485" width="4" style="261" customWidth="1"/>
    <col min="5486" max="5486" width="25.7109375" style="261" customWidth="1"/>
    <col min="5487" max="5487" width="0.85546875" style="261" customWidth="1"/>
    <col min="5488" max="5488" width="8.7109375" style="261" customWidth="1"/>
    <col min="5489" max="5489" width="0.85546875" style="261" customWidth="1"/>
    <col min="5490" max="5490" width="14.7109375" style="261" customWidth="1"/>
    <col min="5491" max="5491" width="20" style="261" customWidth="1"/>
    <col min="5492" max="5492" width="0.85546875" style="261" customWidth="1"/>
    <col min="5493" max="5494" width="14.7109375" style="261" customWidth="1"/>
    <col min="5495" max="5495" width="0.85546875" style="261" customWidth="1"/>
    <col min="5496" max="5497" width="14.7109375" style="261" customWidth="1"/>
    <col min="5498" max="5498" width="0.85546875" style="261" customWidth="1"/>
    <col min="5499" max="5499" width="14.7109375" style="261" customWidth="1"/>
    <col min="5500" max="5500" width="0.85546875" style="261" customWidth="1"/>
    <col min="5501" max="5505" width="6.7109375" style="261" customWidth="1"/>
    <col min="5506" max="5740" width="11.42578125" style="261"/>
    <col min="5741" max="5741" width="4" style="261" customWidth="1"/>
    <col min="5742" max="5742" width="25.7109375" style="261" customWidth="1"/>
    <col min="5743" max="5743" width="0.85546875" style="261" customWidth="1"/>
    <col min="5744" max="5744" width="8.7109375" style="261" customWidth="1"/>
    <col min="5745" max="5745" width="0.85546875" style="261" customWidth="1"/>
    <col min="5746" max="5746" width="14.7109375" style="261" customWidth="1"/>
    <col min="5747" max="5747" width="20" style="261" customWidth="1"/>
    <col min="5748" max="5748" width="0.85546875" style="261" customWidth="1"/>
    <col min="5749" max="5750" width="14.7109375" style="261" customWidth="1"/>
    <col min="5751" max="5751" width="0.85546875" style="261" customWidth="1"/>
    <col min="5752" max="5753" width="14.7109375" style="261" customWidth="1"/>
    <col min="5754" max="5754" width="0.85546875" style="261" customWidth="1"/>
    <col min="5755" max="5755" width="14.7109375" style="261" customWidth="1"/>
    <col min="5756" max="5756" width="0.85546875" style="261" customWidth="1"/>
    <col min="5757" max="5761" width="6.7109375" style="261" customWidth="1"/>
    <col min="5762" max="5996" width="11.42578125" style="261"/>
    <col min="5997" max="5997" width="4" style="261" customWidth="1"/>
    <col min="5998" max="5998" width="25.7109375" style="261" customWidth="1"/>
    <col min="5999" max="5999" width="0.85546875" style="261" customWidth="1"/>
    <col min="6000" max="6000" width="8.7109375" style="261" customWidth="1"/>
    <col min="6001" max="6001" width="0.85546875" style="261" customWidth="1"/>
    <col min="6002" max="6002" width="14.7109375" style="261" customWidth="1"/>
    <col min="6003" max="6003" width="20" style="261" customWidth="1"/>
    <col min="6004" max="6004" width="0.85546875" style="261" customWidth="1"/>
    <col min="6005" max="6006" width="14.7109375" style="261" customWidth="1"/>
    <col min="6007" max="6007" width="0.85546875" style="261" customWidth="1"/>
    <col min="6008" max="6009" width="14.7109375" style="261" customWidth="1"/>
    <col min="6010" max="6010" width="0.85546875" style="261" customWidth="1"/>
    <col min="6011" max="6011" width="14.7109375" style="261" customWidth="1"/>
    <col min="6012" max="6012" width="0.85546875" style="261" customWidth="1"/>
    <col min="6013" max="6017" width="6.7109375" style="261" customWidth="1"/>
    <col min="6018" max="6252" width="11.42578125" style="261"/>
    <col min="6253" max="6253" width="4" style="261" customWidth="1"/>
    <col min="6254" max="6254" width="25.7109375" style="261" customWidth="1"/>
    <col min="6255" max="6255" width="0.85546875" style="261" customWidth="1"/>
    <col min="6256" max="6256" width="8.7109375" style="261" customWidth="1"/>
    <col min="6257" max="6257" width="0.85546875" style="261" customWidth="1"/>
    <col min="6258" max="6258" width="14.7109375" style="261" customWidth="1"/>
    <col min="6259" max="6259" width="20" style="261" customWidth="1"/>
    <col min="6260" max="6260" width="0.85546875" style="261" customWidth="1"/>
    <col min="6261" max="6262" width="14.7109375" style="261" customWidth="1"/>
    <col min="6263" max="6263" width="0.85546875" style="261" customWidth="1"/>
    <col min="6264" max="6265" width="14.7109375" style="261" customWidth="1"/>
    <col min="6266" max="6266" width="0.85546875" style="261" customWidth="1"/>
    <col min="6267" max="6267" width="14.7109375" style="261" customWidth="1"/>
    <col min="6268" max="6268" width="0.85546875" style="261" customWidth="1"/>
    <col min="6269" max="6273" width="6.7109375" style="261" customWidth="1"/>
    <col min="6274" max="6508" width="11.42578125" style="261"/>
    <col min="6509" max="6509" width="4" style="261" customWidth="1"/>
    <col min="6510" max="6510" width="25.7109375" style="261" customWidth="1"/>
    <col min="6511" max="6511" width="0.85546875" style="261" customWidth="1"/>
    <col min="6512" max="6512" width="8.7109375" style="261" customWidth="1"/>
    <col min="6513" max="6513" width="0.85546875" style="261" customWidth="1"/>
    <col min="6514" max="6514" width="14.7109375" style="261" customWidth="1"/>
    <col min="6515" max="6515" width="20" style="261" customWidth="1"/>
    <col min="6516" max="6516" width="0.85546875" style="261" customWidth="1"/>
    <col min="6517" max="6518" width="14.7109375" style="261" customWidth="1"/>
    <col min="6519" max="6519" width="0.85546875" style="261" customWidth="1"/>
    <col min="6520" max="6521" width="14.7109375" style="261" customWidth="1"/>
    <col min="6522" max="6522" width="0.85546875" style="261" customWidth="1"/>
    <col min="6523" max="6523" width="14.7109375" style="261" customWidth="1"/>
    <col min="6524" max="6524" width="0.85546875" style="261" customWidth="1"/>
    <col min="6525" max="6529" width="6.7109375" style="261" customWidth="1"/>
    <col min="6530" max="6764" width="11.42578125" style="261"/>
    <col min="6765" max="6765" width="4" style="261" customWidth="1"/>
    <col min="6766" max="6766" width="25.7109375" style="261" customWidth="1"/>
    <col min="6767" max="6767" width="0.85546875" style="261" customWidth="1"/>
    <col min="6768" max="6768" width="8.7109375" style="261" customWidth="1"/>
    <col min="6769" max="6769" width="0.85546875" style="261" customWidth="1"/>
    <col min="6770" max="6770" width="14.7109375" style="261" customWidth="1"/>
    <col min="6771" max="6771" width="20" style="261" customWidth="1"/>
    <col min="6772" max="6772" width="0.85546875" style="261" customWidth="1"/>
    <col min="6773" max="6774" width="14.7109375" style="261" customWidth="1"/>
    <col min="6775" max="6775" width="0.85546875" style="261" customWidth="1"/>
    <col min="6776" max="6777" width="14.7109375" style="261" customWidth="1"/>
    <col min="6778" max="6778" width="0.85546875" style="261" customWidth="1"/>
    <col min="6779" max="6779" width="14.7109375" style="261" customWidth="1"/>
    <col min="6780" max="6780" width="0.85546875" style="261" customWidth="1"/>
    <col min="6781" max="6785" width="6.7109375" style="261" customWidth="1"/>
    <col min="6786" max="7020" width="11.42578125" style="261"/>
    <col min="7021" max="7021" width="4" style="261" customWidth="1"/>
    <col min="7022" max="7022" width="25.7109375" style="261" customWidth="1"/>
    <col min="7023" max="7023" width="0.85546875" style="261" customWidth="1"/>
    <col min="7024" max="7024" width="8.7109375" style="261" customWidth="1"/>
    <col min="7025" max="7025" width="0.85546875" style="261" customWidth="1"/>
    <col min="7026" max="7026" width="14.7109375" style="261" customWidth="1"/>
    <col min="7027" max="7027" width="20" style="261" customWidth="1"/>
    <col min="7028" max="7028" width="0.85546875" style="261" customWidth="1"/>
    <col min="7029" max="7030" width="14.7109375" style="261" customWidth="1"/>
    <col min="7031" max="7031" width="0.85546875" style="261" customWidth="1"/>
    <col min="7032" max="7033" width="14.7109375" style="261" customWidth="1"/>
    <col min="7034" max="7034" width="0.85546875" style="261" customWidth="1"/>
    <col min="7035" max="7035" width="14.7109375" style="261" customWidth="1"/>
    <col min="7036" max="7036" width="0.85546875" style="261" customWidth="1"/>
    <col min="7037" max="7041" width="6.7109375" style="261" customWidth="1"/>
    <col min="7042" max="7276" width="11.42578125" style="261"/>
    <col min="7277" max="7277" width="4" style="261" customWidth="1"/>
    <col min="7278" max="7278" width="25.7109375" style="261" customWidth="1"/>
    <col min="7279" max="7279" width="0.85546875" style="261" customWidth="1"/>
    <col min="7280" max="7280" width="8.7109375" style="261" customWidth="1"/>
    <col min="7281" max="7281" width="0.85546875" style="261" customWidth="1"/>
    <col min="7282" max="7282" width="14.7109375" style="261" customWidth="1"/>
    <col min="7283" max="7283" width="20" style="261" customWidth="1"/>
    <col min="7284" max="7284" width="0.85546875" style="261" customWidth="1"/>
    <col min="7285" max="7286" width="14.7109375" style="261" customWidth="1"/>
    <col min="7287" max="7287" width="0.85546875" style="261" customWidth="1"/>
    <col min="7288" max="7289" width="14.7109375" style="261" customWidth="1"/>
    <col min="7290" max="7290" width="0.85546875" style="261" customWidth="1"/>
    <col min="7291" max="7291" width="14.7109375" style="261" customWidth="1"/>
    <col min="7292" max="7292" width="0.85546875" style="261" customWidth="1"/>
    <col min="7293" max="7297" width="6.7109375" style="261" customWidth="1"/>
    <col min="7298" max="7532" width="11.42578125" style="261"/>
    <col min="7533" max="7533" width="4" style="261" customWidth="1"/>
    <col min="7534" max="7534" width="25.7109375" style="261" customWidth="1"/>
    <col min="7535" max="7535" width="0.85546875" style="261" customWidth="1"/>
    <col min="7536" max="7536" width="8.7109375" style="261" customWidth="1"/>
    <col min="7537" max="7537" width="0.85546875" style="261" customWidth="1"/>
    <col min="7538" max="7538" width="14.7109375" style="261" customWidth="1"/>
    <col min="7539" max="7539" width="20" style="261" customWidth="1"/>
    <col min="7540" max="7540" width="0.85546875" style="261" customWidth="1"/>
    <col min="7541" max="7542" width="14.7109375" style="261" customWidth="1"/>
    <col min="7543" max="7543" width="0.85546875" style="261" customWidth="1"/>
    <col min="7544" max="7545" width="14.7109375" style="261" customWidth="1"/>
    <col min="7546" max="7546" width="0.85546875" style="261" customWidth="1"/>
    <col min="7547" max="7547" width="14.7109375" style="261" customWidth="1"/>
    <col min="7548" max="7548" width="0.85546875" style="261" customWidth="1"/>
    <col min="7549" max="7553" width="6.7109375" style="261" customWidth="1"/>
    <col min="7554" max="7788" width="11.42578125" style="261"/>
    <col min="7789" max="7789" width="4" style="261" customWidth="1"/>
    <col min="7790" max="7790" width="25.7109375" style="261" customWidth="1"/>
    <col min="7791" max="7791" width="0.85546875" style="261" customWidth="1"/>
    <col min="7792" max="7792" width="8.7109375" style="261" customWidth="1"/>
    <col min="7793" max="7793" width="0.85546875" style="261" customWidth="1"/>
    <col min="7794" max="7794" width="14.7109375" style="261" customWidth="1"/>
    <col min="7795" max="7795" width="20" style="261" customWidth="1"/>
    <col min="7796" max="7796" width="0.85546875" style="261" customWidth="1"/>
    <col min="7797" max="7798" width="14.7109375" style="261" customWidth="1"/>
    <col min="7799" max="7799" width="0.85546875" style="261" customWidth="1"/>
    <col min="7800" max="7801" width="14.7109375" style="261" customWidth="1"/>
    <col min="7802" max="7802" width="0.85546875" style="261" customWidth="1"/>
    <col min="7803" max="7803" width="14.7109375" style="261" customWidth="1"/>
    <col min="7804" max="7804" width="0.85546875" style="261" customWidth="1"/>
    <col min="7805" max="7809" width="6.7109375" style="261" customWidth="1"/>
    <col min="7810" max="8044" width="11.42578125" style="261"/>
    <col min="8045" max="8045" width="4" style="261" customWidth="1"/>
    <col min="8046" max="8046" width="25.7109375" style="261" customWidth="1"/>
    <col min="8047" max="8047" width="0.85546875" style="261" customWidth="1"/>
    <col min="8048" max="8048" width="8.7109375" style="261" customWidth="1"/>
    <col min="8049" max="8049" width="0.85546875" style="261" customWidth="1"/>
    <col min="8050" max="8050" width="14.7109375" style="261" customWidth="1"/>
    <col min="8051" max="8051" width="20" style="261" customWidth="1"/>
    <col min="8052" max="8052" width="0.85546875" style="261" customWidth="1"/>
    <col min="8053" max="8054" width="14.7109375" style="261" customWidth="1"/>
    <col min="8055" max="8055" width="0.85546875" style="261" customWidth="1"/>
    <col min="8056" max="8057" width="14.7109375" style="261" customWidth="1"/>
    <col min="8058" max="8058" width="0.85546875" style="261" customWidth="1"/>
    <col min="8059" max="8059" width="14.7109375" style="261" customWidth="1"/>
    <col min="8060" max="8060" width="0.85546875" style="261" customWidth="1"/>
    <col min="8061" max="8065" width="6.7109375" style="261" customWidth="1"/>
    <col min="8066" max="8300" width="11.42578125" style="261"/>
    <col min="8301" max="8301" width="4" style="261" customWidth="1"/>
    <col min="8302" max="8302" width="25.7109375" style="261" customWidth="1"/>
    <col min="8303" max="8303" width="0.85546875" style="261" customWidth="1"/>
    <col min="8304" max="8304" width="8.7109375" style="261" customWidth="1"/>
    <col min="8305" max="8305" width="0.85546875" style="261" customWidth="1"/>
    <col min="8306" max="8306" width="14.7109375" style="261" customWidth="1"/>
    <col min="8307" max="8307" width="20" style="261" customWidth="1"/>
    <col min="8308" max="8308" width="0.85546875" style="261" customWidth="1"/>
    <col min="8309" max="8310" width="14.7109375" style="261" customWidth="1"/>
    <col min="8311" max="8311" width="0.85546875" style="261" customWidth="1"/>
    <col min="8312" max="8313" width="14.7109375" style="261" customWidth="1"/>
    <col min="8314" max="8314" width="0.85546875" style="261" customWidth="1"/>
    <col min="8315" max="8315" width="14.7109375" style="261" customWidth="1"/>
    <col min="8316" max="8316" width="0.85546875" style="261" customWidth="1"/>
    <col min="8317" max="8321" width="6.7109375" style="261" customWidth="1"/>
    <col min="8322" max="8556" width="11.42578125" style="261"/>
    <col min="8557" max="8557" width="4" style="261" customWidth="1"/>
    <col min="8558" max="8558" width="25.7109375" style="261" customWidth="1"/>
    <col min="8559" max="8559" width="0.85546875" style="261" customWidth="1"/>
    <col min="8560" max="8560" width="8.7109375" style="261" customWidth="1"/>
    <col min="8561" max="8561" width="0.85546875" style="261" customWidth="1"/>
    <col min="8562" max="8562" width="14.7109375" style="261" customWidth="1"/>
    <col min="8563" max="8563" width="20" style="261" customWidth="1"/>
    <col min="8564" max="8564" width="0.85546875" style="261" customWidth="1"/>
    <col min="8565" max="8566" width="14.7109375" style="261" customWidth="1"/>
    <col min="8567" max="8567" width="0.85546875" style="261" customWidth="1"/>
    <col min="8568" max="8569" width="14.7109375" style="261" customWidth="1"/>
    <col min="8570" max="8570" width="0.85546875" style="261" customWidth="1"/>
    <col min="8571" max="8571" width="14.7109375" style="261" customWidth="1"/>
    <col min="8572" max="8572" width="0.85546875" style="261" customWidth="1"/>
    <col min="8573" max="8577" width="6.7109375" style="261" customWidth="1"/>
    <col min="8578" max="8812" width="11.42578125" style="261"/>
    <col min="8813" max="8813" width="4" style="261" customWidth="1"/>
    <col min="8814" max="8814" width="25.7109375" style="261" customWidth="1"/>
    <col min="8815" max="8815" width="0.85546875" style="261" customWidth="1"/>
    <col min="8816" max="8816" width="8.7109375" style="261" customWidth="1"/>
    <col min="8817" max="8817" width="0.85546875" style="261" customWidth="1"/>
    <col min="8818" max="8818" width="14.7109375" style="261" customWidth="1"/>
    <col min="8819" max="8819" width="20" style="261" customWidth="1"/>
    <col min="8820" max="8820" width="0.85546875" style="261" customWidth="1"/>
    <col min="8821" max="8822" width="14.7109375" style="261" customWidth="1"/>
    <col min="8823" max="8823" width="0.85546875" style="261" customWidth="1"/>
    <col min="8824" max="8825" width="14.7109375" style="261" customWidth="1"/>
    <col min="8826" max="8826" width="0.85546875" style="261" customWidth="1"/>
    <col min="8827" max="8827" width="14.7109375" style="261" customWidth="1"/>
    <col min="8828" max="8828" width="0.85546875" style="261" customWidth="1"/>
    <col min="8829" max="8833" width="6.7109375" style="261" customWidth="1"/>
    <col min="8834" max="9068" width="11.42578125" style="261"/>
    <col min="9069" max="9069" width="4" style="261" customWidth="1"/>
    <col min="9070" max="9070" width="25.7109375" style="261" customWidth="1"/>
    <col min="9071" max="9071" width="0.85546875" style="261" customWidth="1"/>
    <col min="9072" max="9072" width="8.7109375" style="261" customWidth="1"/>
    <col min="9073" max="9073" width="0.85546875" style="261" customWidth="1"/>
    <col min="9074" max="9074" width="14.7109375" style="261" customWidth="1"/>
    <col min="9075" max="9075" width="20" style="261" customWidth="1"/>
    <col min="9076" max="9076" width="0.85546875" style="261" customWidth="1"/>
    <col min="9077" max="9078" width="14.7109375" style="261" customWidth="1"/>
    <col min="9079" max="9079" width="0.85546875" style="261" customWidth="1"/>
    <col min="9080" max="9081" width="14.7109375" style="261" customWidth="1"/>
    <col min="9082" max="9082" width="0.85546875" style="261" customWidth="1"/>
    <col min="9083" max="9083" width="14.7109375" style="261" customWidth="1"/>
    <col min="9084" max="9084" width="0.85546875" style="261" customWidth="1"/>
    <col min="9085" max="9089" width="6.7109375" style="261" customWidth="1"/>
    <col min="9090" max="9324" width="11.42578125" style="261"/>
    <col min="9325" max="9325" width="4" style="261" customWidth="1"/>
    <col min="9326" max="9326" width="25.7109375" style="261" customWidth="1"/>
    <col min="9327" max="9327" width="0.85546875" style="261" customWidth="1"/>
    <col min="9328" max="9328" width="8.7109375" style="261" customWidth="1"/>
    <col min="9329" max="9329" width="0.85546875" style="261" customWidth="1"/>
    <col min="9330" max="9330" width="14.7109375" style="261" customWidth="1"/>
    <col min="9331" max="9331" width="20" style="261" customWidth="1"/>
    <col min="9332" max="9332" width="0.85546875" style="261" customWidth="1"/>
    <col min="9333" max="9334" width="14.7109375" style="261" customWidth="1"/>
    <col min="9335" max="9335" width="0.85546875" style="261" customWidth="1"/>
    <col min="9336" max="9337" width="14.7109375" style="261" customWidth="1"/>
    <col min="9338" max="9338" width="0.85546875" style="261" customWidth="1"/>
    <col min="9339" max="9339" width="14.7109375" style="261" customWidth="1"/>
    <col min="9340" max="9340" width="0.85546875" style="261" customWidth="1"/>
    <col min="9341" max="9345" width="6.7109375" style="261" customWidth="1"/>
    <col min="9346" max="9580" width="11.42578125" style="261"/>
    <col min="9581" max="9581" width="4" style="261" customWidth="1"/>
    <col min="9582" max="9582" width="25.7109375" style="261" customWidth="1"/>
    <col min="9583" max="9583" width="0.85546875" style="261" customWidth="1"/>
    <col min="9584" max="9584" width="8.7109375" style="261" customWidth="1"/>
    <col min="9585" max="9585" width="0.85546875" style="261" customWidth="1"/>
    <col min="9586" max="9586" width="14.7109375" style="261" customWidth="1"/>
    <col min="9587" max="9587" width="20" style="261" customWidth="1"/>
    <col min="9588" max="9588" width="0.85546875" style="261" customWidth="1"/>
    <col min="9589" max="9590" width="14.7109375" style="261" customWidth="1"/>
    <col min="9591" max="9591" width="0.85546875" style="261" customWidth="1"/>
    <col min="9592" max="9593" width="14.7109375" style="261" customWidth="1"/>
    <col min="9594" max="9594" width="0.85546875" style="261" customWidth="1"/>
    <col min="9595" max="9595" width="14.7109375" style="261" customWidth="1"/>
    <col min="9596" max="9596" width="0.85546875" style="261" customWidth="1"/>
    <col min="9597" max="9601" width="6.7109375" style="261" customWidth="1"/>
    <col min="9602" max="9836" width="11.42578125" style="261"/>
    <col min="9837" max="9837" width="4" style="261" customWidth="1"/>
    <col min="9838" max="9838" width="25.7109375" style="261" customWidth="1"/>
    <col min="9839" max="9839" width="0.85546875" style="261" customWidth="1"/>
    <col min="9840" max="9840" width="8.7109375" style="261" customWidth="1"/>
    <col min="9841" max="9841" width="0.85546875" style="261" customWidth="1"/>
    <col min="9842" max="9842" width="14.7109375" style="261" customWidth="1"/>
    <col min="9843" max="9843" width="20" style="261" customWidth="1"/>
    <col min="9844" max="9844" width="0.85546875" style="261" customWidth="1"/>
    <col min="9845" max="9846" width="14.7109375" style="261" customWidth="1"/>
    <col min="9847" max="9847" width="0.85546875" style="261" customWidth="1"/>
    <col min="9848" max="9849" width="14.7109375" style="261" customWidth="1"/>
    <col min="9850" max="9850" width="0.85546875" style="261" customWidth="1"/>
    <col min="9851" max="9851" width="14.7109375" style="261" customWidth="1"/>
    <col min="9852" max="9852" width="0.85546875" style="261" customWidth="1"/>
    <col min="9853" max="9857" width="6.7109375" style="261" customWidth="1"/>
    <col min="9858" max="10092" width="11.42578125" style="261"/>
    <col min="10093" max="10093" width="4" style="261" customWidth="1"/>
    <col min="10094" max="10094" width="25.7109375" style="261" customWidth="1"/>
    <col min="10095" max="10095" width="0.85546875" style="261" customWidth="1"/>
    <col min="10096" max="10096" width="8.7109375" style="261" customWidth="1"/>
    <col min="10097" max="10097" width="0.85546875" style="261" customWidth="1"/>
    <col min="10098" max="10098" width="14.7109375" style="261" customWidth="1"/>
    <col min="10099" max="10099" width="20" style="261" customWidth="1"/>
    <col min="10100" max="10100" width="0.85546875" style="261" customWidth="1"/>
    <col min="10101" max="10102" width="14.7109375" style="261" customWidth="1"/>
    <col min="10103" max="10103" width="0.85546875" style="261" customWidth="1"/>
    <col min="10104" max="10105" width="14.7109375" style="261" customWidth="1"/>
    <col min="10106" max="10106" width="0.85546875" style="261" customWidth="1"/>
    <col min="10107" max="10107" width="14.7109375" style="261" customWidth="1"/>
    <col min="10108" max="10108" width="0.85546875" style="261" customWidth="1"/>
    <col min="10109" max="10113" width="6.7109375" style="261" customWidth="1"/>
    <col min="10114" max="10348" width="11.42578125" style="261"/>
    <col min="10349" max="10349" width="4" style="261" customWidth="1"/>
    <col min="10350" max="10350" width="25.7109375" style="261" customWidth="1"/>
    <col min="10351" max="10351" width="0.85546875" style="261" customWidth="1"/>
    <col min="10352" max="10352" width="8.7109375" style="261" customWidth="1"/>
    <col min="10353" max="10353" width="0.85546875" style="261" customWidth="1"/>
    <col min="10354" max="10354" width="14.7109375" style="261" customWidth="1"/>
    <col min="10355" max="10355" width="20" style="261" customWidth="1"/>
    <col min="10356" max="10356" width="0.85546875" style="261" customWidth="1"/>
    <col min="10357" max="10358" width="14.7109375" style="261" customWidth="1"/>
    <col min="10359" max="10359" width="0.85546875" style="261" customWidth="1"/>
    <col min="10360" max="10361" width="14.7109375" style="261" customWidth="1"/>
    <col min="10362" max="10362" width="0.85546875" style="261" customWidth="1"/>
    <col min="10363" max="10363" width="14.7109375" style="261" customWidth="1"/>
    <col min="10364" max="10364" width="0.85546875" style="261" customWidth="1"/>
    <col min="10365" max="10369" width="6.7109375" style="261" customWidth="1"/>
    <col min="10370" max="10604" width="11.42578125" style="261"/>
    <col min="10605" max="10605" width="4" style="261" customWidth="1"/>
    <col min="10606" max="10606" width="25.7109375" style="261" customWidth="1"/>
    <col min="10607" max="10607" width="0.85546875" style="261" customWidth="1"/>
    <col min="10608" max="10608" width="8.7109375" style="261" customWidth="1"/>
    <col min="10609" max="10609" width="0.85546875" style="261" customWidth="1"/>
    <col min="10610" max="10610" width="14.7109375" style="261" customWidth="1"/>
    <col min="10611" max="10611" width="20" style="261" customWidth="1"/>
    <col min="10612" max="10612" width="0.85546875" style="261" customWidth="1"/>
    <col min="10613" max="10614" width="14.7109375" style="261" customWidth="1"/>
    <col min="10615" max="10615" width="0.85546875" style="261" customWidth="1"/>
    <col min="10616" max="10617" width="14.7109375" style="261" customWidth="1"/>
    <col min="10618" max="10618" width="0.85546875" style="261" customWidth="1"/>
    <col min="10619" max="10619" width="14.7109375" style="261" customWidth="1"/>
    <col min="10620" max="10620" width="0.85546875" style="261" customWidth="1"/>
    <col min="10621" max="10625" width="6.7109375" style="261" customWidth="1"/>
    <col min="10626" max="10860" width="11.42578125" style="261"/>
    <col min="10861" max="10861" width="4" style="261" customWidth="1"/>
    <col min="10862" max="10862" width="25.7109375" style="261" customWidth="1"/>
    <col min="10863" max="10863" width="0.85546875" style="261" customWidth="1"/>
    <col min="10864" max="10864" width="8.7109375" style="261" customWidth="1"/>
    <col min="10865" max="10865" width="0.85546875" style="261" customWidth="1"/>
    <col min="10866" max="10866" width="14.7109375" style="261" customWidth="1"/>
    <col min="10867" max="10867" width="20" style="261" customWidth="1"/>
    <col min="10868" max="10868" width="0.85546875" style="261" customWidth="1"/>
    <col min="10869" max="10870" width="14.7109375" style="261" customWidth="1"/>
    <col min="10871" max="10871" width="0.85546875" style="261" customWidth="1"/>
    <col min="10872" max="10873" width="14.7109375" style="261" customWidth="1"/>
    <col min="10874" max="10874" width="0.85546875" style="261" customWidth="1"/>
    <col min="10875" max="10875" width="14.7109375" style="261" customWidth="1"/>
    <col min="10876" max="10876" width="0.85546875" style="261" customWidth="1"/>
    <col min="10877" max="10881" width="6.7109375" style="261" customWidth="1"/>
    <col min="10882" max="11116" width="11.42578125" style="261"/>
    <col min="11117" max="11117" width="4" style="261" customWidth="1"/>
    <col min="11118" max="11118" width="25.7109375" style="261" customWidth="1"/>
    <col min="11119" max="11119" width="0.85546875" style="261" customWidth="1"/>
    <col min="11120" max="11120" width="8.7109375" style="261" customWidth="1"/>
    <col min="11121" max="11121" width="0.85546875" style="261" customWidth="1"/>
    <col min="11122" max="11122" width="14.7109375" style="261" customWidth="1"/>
    <col min="11123" max="11123" width="20" style="261" customWidth="1"/>
    <col min="11124" max="11124" width="0.85546875" style="261" customWidth="1"/>
    <col min="11125" max="11126" width="14.7109375" style="261" customWidth="1"/>
    <col min="11127" max="11127" width="0.85546875" style="261" customWidth="1"/>
    <col min="11128" max="11129" width="14.7109375" style="261" customWidth="1"/>
    <col min="11130" max="11130" width="0.85546875" style="261" customWidth="1"/>
    <col min="11131" max="11131" width="14.7109375" style="261" customWidth="1"/>
    <col min="11132" max="11132" width="0.85546875" style="261" customWidth="1"/>
    <col min="11133" max="11137" width="6.7109375" style="261" customWidth="1"/>
    <col min="11138" max="11372" width="11.42578125" style="261"/>
    <col min="11373" max="11373" width="4" style="261" customWidth="1"/>
    <col min="11374" max="11374" width="25.7109375" style="261" customWidth="1"/>
    <col min="11375" max="11375" width="0.85546875" style="261" customWidth="1"/>
    <col min="11376" max="11376" width="8.7109375" style="261" customWidth="1"/>
    <col min="11377" max="11377" width="0.85546875" style="261" customWidth="1"/>
    <col min="11378" max="11378" width="14.7109375" style="261" customWidth="1"/>
    <col min="11379" max="11379" width="20" style="261" customWidth="1"/>
    <col min="11380" max="11380" width="0.85546875" style="261" customWidth="1"/>
    <col min="11381" max="11382" width="14.7109375" style="261" customWidth="1"/>
    <col min="11383" max="11383" width="0.85546875" style="261" customWidth="1"/>
    <col min="11384" max="11385" width="14.7109375" style="261" customWidth="1"/>
    <col min="11386" max="11386" width="0.85546875" style="261" customWidth="1"/>
    <col min="11387" max="11387" width="14.7109375" style="261" customWidth="1"/>
    <col min="11388" max="11388" width="0.85546875" style="261" customWidth="1"/>
    <col min="11389" max="11393" width="6.7109375" style="261" customWidth="1"/>
    <col min="11394" max="11628" width="11.42578125" style="261"/>
    <col min="11629" max="11629" width="4" style="261" customWidth="1"/>
    <col min="11630" max="11630" width="25.7109375" style="261" customWidth="1"/>
    <col min="11631" max="11631" width="0.85546875" style="261" customWidth="1"/>
    <col min="11632" max="11632" width="8.7109375" style="261" customWidth="1"/>
    <col min="11633" max="11633" width="0.85546875" style="261" customWidth="1"/>
    <col min="11634" max="11634" width="14.7109375" style="261" customWidth="1"/>
    <col min="11635" max="11635" width="20" style="261" customWidth="1"/>
    <col min="11636" max="11636" width="0.85546875" style="261" customWidth="1"/>
    <col min="11637" max="11638" width="14.7109375" style="261" customWidth="1"/>
    <col min="11639" max="11639" width="0.85546875" style="261" customWidth="1"/>
    <col min="11640" max="11641" width="14.7109375" style="261" customWidth="1"/>
    <col min="11642" max="11642" width="0.85546875" style="261" customWidth="1"/>
    <col min="11643" max="11643" width="14.7109375" style="261" customWidth="1"/>
    <col min="11644" max="11644" width="0.85546875" style="261" customWidth="1"/>
    <col min="11645" max="11649" width="6.7109375" style="261" customWidth="1"/>
    <col min="11650" max="11884" width="11.42578125" style="261"/>
    <col min="11885" max="11885" width="4" style="261" customWidth="1"/>
    <col min="11886" max="11886" width="25.7109375" style="261" customWidth="1"/>
    <col min="11887" max="11887" width="0.85546875" style="261" customWidth="1"/>
    <col min="11888" max="11888" width="8.7109375" style="261" customWidth="1"/>
    <col min="11889" max="11889" width="0.85546875" style="261" customWidth="1"/>
    <col min="11890" max="11890" width="14.7109375" style="261" customWidth="1"/>
    <col min="11891" max="11891" width="20" style="261" customWidth="1"/>
    <col min="11892" max="11892" width="0.85546875" style="261" customWidth="1"/>
    <col min="11893" max="11894" width="14.7109375" style="261" customWidth="1"/>
    <col min="11895" max="11895" width="0.85546875" style="261" customWidth="1"/>
    <col min="11896" max="11897" width="14.7109375" style="261" customWidth="1"/>
    <col min="11898" max="11898" width="0.85546875" style="261" customWidth="1"/>
    <col min="11899" max="11899" width="14.7109375" style="261" customWidth="1"/>
    <col min="11900" max="11900" width="0.85546875" style="261" customWidth="1"/>
    <col min="11901" max="11905" width="6.7109375" style="261" customWidth="1"/>
    <col min="11906" max="12140" width="11.42578125" style="261"/>
    <col min="12141" max="12141" width="4" style="261" customWidth="1"/>
    <col min="12142" max="12142" width="25.7109375" style="261" customWidth="1"/>
    <col min="12143" max="12143" width="0.85546875" style="261" customWidth="1"/>
    <col min="12144" max="12144" width="8.7109375" style="261" customWidth="1"/>
    <col min="12145" max="12145" width="0.85546875" style="261" customWidth="1"/>
    <col min="12146" max="12146" width="14.7109375" style="261" customWidth="1"/>
    <col min="12147" max="12147" width="20" style="261" customWidth="1"/>
    <col min="12148" max="12148" width="0.85546875" style="261" customWidth="1"/>
    <col min="12149" max="12150" width="14.7109375" style="261" customWidth="1"/>
    <col min="12151" max="12151" width="0.85546875" style="261" customWidth="1"/>
    <col min="12152" max="12153" width="14.7109375" style="261" customWidth="1"/>
    <col min="12154" max="12154" width="0.85546875" style="261" customWidth="1"/>
    <col min="12155" max="12155" width="14.7109375" style="261" customWidth="1"/>
    <col min="12156" max="12156" width="0.85546875" style="261" customWidth="1"/>
    <col min="12157" max="12161" width="6.7109375" style="261" customWidth="1"/>
    <col min="12162" max="12396" width="11.42578125" style="261"/>
    <col min="12397" max="12397" width="4" style="261" customWidth="1"/>
    <col min="12398" max="12398" width="25.7109375" style="261" customWidth="1"/>
    <col min="12399" max="12399" width="0.85546875" style="261" customWidth="1"/>
    <col min="12400" max="12400" width="8.7109375" style="261" customWidth="1"/>
    <col min="12401" max="12401" width="0.85546875" style="261" customWidth="1"/>
    <col min="12402" max="12402" width="14.7109375" style="261" customWidth="1"/>
    <col min="12403" max="12403" width="20" style="261" customWidth="1"/>
    <col min="12404" max="12404" width="0.85546875" style="261" customWidth="1"/>
    <col min="12405" max="12406" width="14.7109375" style="261" customWidth="1"/>
    <col min="12407" max="12407" width="0.85546875" style="261" customWidth="1"/>
    <col min="12408" max="12409" width="14.7109375" style="261" customWidth="1"/>
    <col min="12410" max="12410" width="0.85546875" style="261" customWidth="1"/>
    <col min="12411" max="12411" width="14.7109375" style="261" customWidth="1"/>
    <col min="12412" max="12412" width="0.85546875" style="261" customWidth="1"/>
    <col min="12413" max="12417" width="6.7109375" style="261" customWidth="1"/>
    <col min="12418" max="12652" width="11.42578125" style="261"/>
    <col min="12653" max="12653" width="4" style="261" customWidth="1"/>
    <col min="12654" max="12654" width="25.7109375" style="261" customWidth="1"/>
    <col min="12655" max="12655" width="0.85546875" style="261" customWidth="1"/>
    <col min="12656" max="12656" width="8.7109375" style="261" customWidth="1"/>
    <col min="12657" max="12657" width="0.85546875" style="261" customWidth="1"/>
    <col min="12658" max="12658" width="14.7109375" style="261" customWidth="1"/>
    <col min="12659" max="12659" width="20" style="261" customWidth="1"/>
    <col min="12660" max="12660" width="0.85546875" style="261" customWidth="1"/>
    <col min="12661" max="12662" width="14.7109375" style="261" customWidth="1"/>
    <col min="12663" max="12663" width="0.85546875" style="261" customWidth="1"/>
    <col min="12664" max="12665" width="14.7109375" style="261" customWidth="1"/>
    <col min="12666" max="12666" width="0.85546875" style="261" customWidth="1"/>
    <col min="12667" max="12667" width="14.7109375" style="261" customWidth="1"/>
    <col min="12668" max="12668" width="0.85546875" style="261" customWidth="1"/>
    <col min="12669" max="12673" width="6.7109375" style="261" customWidth="1"/>
    <col min="12674" max="12908" width="11.42578125" style="261"/>
    <col min="12909" max="12909" width="4" style="261" customWidth="1"/>
    <col min="12910" max="12910" width="25.7109375" style="261" customWidth="1"/>
    <col min="12911" max="12911" width="0.85546875" style="261" customWidth="1"/>
    <col min="12912" max="12912" width="8.7109375" style="261" customWidth="1"/>
    <col min="12913" max="12913" width="0.85546875" style="261" customWidth="1"/>
    <col min="12914" max="12914" width="14.7109375" style="261" customWidth="1"/>
    <col min="12915" max="12915" width="20" style="261" customWidth="1"/>
    <col min="12916" max="12916" width="0.85546875" style="261" customWidth="1"/>
    <col min="12917" max="12918" width="14.7109375" style="261" customWidth="1"/>
    <col min="12919" max="12919" width="0.85546875" style="261" customWidth="1"/>
    <col min="12920" max="12921" width="14.7109375" style="261" customWidth="1"/>
    <col min="12922" max="12922" width="0.85546875" style="261" customWidth="1"/>
    <col min="12923" max="12923" width="14.7109375" style="261" customWidth="1"/>
    <col min="12924" max="12924" width="0.85546875" style="261" customWidth="1"/>
    <col min="12925" max="12929" width="6.7109375" style="261" customWidth="1"/>
    <col min="12930" max="13164" width="11.42578125" style="261"/>
    <col min="13165" max="13165" width="4" style="261" customWidth="1"/>
    <col min="13166" max="13166" width="25.7109375" style="261" customWidth="1"/>
    <col min="13167" max="13167" width="0.85546875" style="261" customWidth="1"/>
    <col min="13168" max="13168" width="8.7109375" style="261" customWidth="1"/>
    <col min="13169" max="13169" width="0.85546875" style="261" customWidth="1"/>
    <col min="13170" max="13170" width="14.7109375" style="261" customWidth="1"/>
    <col min="13171" max="13171" width="20" style="261" customWidth="1"/>
    <col min="13172" max="13172" width="0.85546875" style="261" customWidth="1"/>
    <col min="13173" max="13174" width="14.7109375" style="261" customWidth="1"/>
    <col min="13175" max="13175" width="0.85546875" style="261" customWidth="1"/>
    <col min="13176" max="13177" width="14.7109375" style="261" customWidth="1"/>
    <col min="13178" max="13178" width="0.85546875" style="261" customWidth="1"/>
    <col min="13179" max="13179" width="14.7109375" style="261" customWidth="1"/>
    <col min="13180" max="13180" width="0.85546875" style="261" customWidth="1"/>
    <col min="13181" max="13185" width="6.7109375" style="261" customWidth="1"/>
    <col min="13186" max="13420" width="11.42578125" style="261"/>
    <col min="13421" max="13421" width="4" style="261" customWidth="1"/>
    <col min="13422" max="13422" width="25.7109375" style="261" customWidth="1"/>
    <col min="13423" max="13423" width="0.85546875" style="261" customWidth="1"/>
    <col min="13424" max="13424" width="8.7109375" style="261" customWidth="1"/>
    <col min="13425" max="13425" width="0.85546875" style="261" customWidth="1"/>
    <col min="13426" max="13426" width="14.7109375" style="261" customWidth="1"/>
    <col min="13427" max="13427" width="20" style="261" customWidth="1"/>
    <col min="13428" max="13428" width="0.85546875" style="261" customWidth="1"/>
    <col min="13429" max="13430" width="14.7109375" style="261" customWidth="1"/>
    <col min="13431" max="13431" width="0.85546875" style="261" customWidth="1"/>
    <col min="13432" max="13433" width="14.7109375" style="261" customWidth="1"/>
    <col min="13434" max="13434" width="0.85546875" style="261" customWidth="1"/>
    <col min="13435" max="13435" width="14.7109375" style="261" customWidth="1"/>
    <col min="13436" max="13436" width="0.85546875" style="261" customWidth="1"/>
    <col min="13437" max="13441" width="6.7109375" style="261" customWidth="1"/>
    <col min="13442" max="13676" width="11.42578125" style="261"/>
    <col min="13677" max="13677" width="4" style="261" customWidth="1"/>
    <col min="13678" max="13678" width="25.7109375" style="261" customWidth="1"/>
    <col min="13679" max="13679" width="0.85546875" style="261" customWidth="1"/>
    <col min="13680" max="13680" width="8.7109375" style="261" customWidth="1"/>
    <col min="13681" max="13681" width="0.85546875" style="261" customWidth="1"/>
    <col min="13682" max="13682" width="14.7109375" style="261" customWidth="1"/>
    <col min="13683" max="13683" width="20" style="261" customWidth="1"/>
    <col min="13684" max="13684" width="0.85546875" style="261" customWidth="1"/>
    <col min="13685" max="13686" width="14.7109375" style="261" customWidth="1"/>
    <col min="13687" max="13687" width="0.85546875" style="261" customWidth="1"/>
    <col min="13688" max="13689" width="14.7109375" style="261" customWidth="1"/>
    <col min="13690" max="13690" width="0.85546875" style="261" customWidth="1"/>
    <col min="13691" max="13691" width="14.7109375" style="261" customWidth="1"/>
    <col min="13692" max="13692" width="0.85546875" style="261" customWidth="1"/>
    <col min="13693" max="13697" width="6.7109375" style="261" customWidth="1"/>
    <col min="13698" max="13932" width="11.42578125" style="261"/>
    <col min="13933" max="13933" width="4" style="261" customWidth="1"/>
    <col min="13934" max="13934" width="25.7109375" style="261" customWidth="1"/>
    <col min="13935" max="13935" width="0.85546875" style="261" customWidth="1"/>
    <col min="13936" max="13936" width="8.7109375" style="261" customWidth="1"/>
    <col min="13937" max="13937" width="0.85546875" style="261" customWidth="1"/>
    <col min="13938" max="13938" width="14.7109375" style="261" customWidth="1"/>
    <col min="13939" max="13939" width="20" style="261" customWidth="1"/>
    <col min="13940" max="13940" width="0.85546875" style="261" customWidth="1"/>
    <col min="13941" max="13942" width="14.7109375" style="261" customWidth="1"/>
    <col min="13943" max="13943" width="0.85546875" style="261" customWidth="1"/>
    <col min="13944" max="13945" width="14.7109375" style="261" customWidth="1"/>
    <col min="13946" max="13946" width="0.85546875" style="261" customWidth="1"/>
    <col min="13947" max="13947" width="14.7109375" style="261" customWidth="1"/>
    <col min="13948" max="13948" width="0.85546875" style="261" customWidth="1"/>
    <col min="13949" max="13953" width="6.7109375" style="261" customWidth="1"/>
    <col min="13954" max="14188" width="11.42578125" style="261"/>
    <col min="14189" max="14189" width="4" style="261" customWidth="1"/>
    <col min="14190" max="14190" width="25.7109375" style="261" customWidth="1"/>
    <col min="14191" max="14191" width="0.85546875" style="261" customWidth="1"/>
    <col min="14192" max="14192" width="8.7109375" style="261" customWidth="1"/>
    <col min="14193" max="14193" width="0.85546875" style="261" customWidth="1"/>
    <col min="14194" max="14194" width="14.7109375" style="261" customWidth="1"/>
    <col min="14195" max="14195" width="20" style="261" customWidth="1"/>
    <col min="14196" max="14196" width="0.85546875" style="261" customWidth="1"/>
    <col min="14197" max="14198" width="14.7109375" style="261" customWidth="1"/>
    <col min="14199" max="14199" width="0.85546875" style="261" customWidth="1"/>
    <col min="14200" max="14201" width="14.7109375" style="261" customWidth="1"/>
    <col min="14202" max="14202" width="0.85546875" style="261" customWidth="1"/>
    <col min="14203" max="14203" width="14.7109375" style="261" customWidth="1"/>
    <col min="14204" max="14204" width="0.85546875" style="261" customWidth="1"/>
    <col min="14205" max="14209" width="6.7109375" style="261" customWidth="1"/>
    <col min="14210" max="14444" width="11.42578125" style="261"/>
    <col min="14445" max="14445" width="4" style="261" customWidth="1"/>
    <col min="14446" max="14446" width="25.7109375" style="261" customWidth="1"/>
    <col min="14447" max="14447" width="0.85546875" style="261" customWidth="1"/>
    <col min="14448" max="14448" width="8.7109375" style="261" customWidth="1"/>
    <col min="14449" max="14449" width="0.85546875" style="261" customWidth="1"/>
    <col min="14450" max="14450" width="14.7109375" style="261" customWidth="1"/>
    <col min="14451" max="14451" width="20" style="261" customWidth="1"/>
    <col min="14452" max="14452" width="0.85546875" style="261" customWidth="1"/>
    <col min="14453" max="14454" width="14.7109375" style="261" customWidth="1"/>
    <col min="14455" max="14455" width="0.85546875" style="261" customWidth="1"/>
    <col min="14456" max="14457" width="14.7109375" style="261" customWidth="1"/>
    <col min="14458" max="14458" width="0.85546875" style="261" customWidth="1"/>
    <col min="14459" max="14459" width="14.7109375" style="261" customWidth="1"/>
    <col min="14460" max="14460" width="0.85546875" style="261" customWidth="1"/>
    <col min="14461" max="14465" width="6.7109375" style="261" customWidth="1"/>
    <col min="14466" max="14700" width="11.42578125" style="261"/>
    <col min="14701" max="14701" width="4" style="261" customWidth="1"/>
    <col min="14702" max="14702" width="25.7109375" style="261" customWidth="1"/>
    <col min="14703" max="14703" width="0.85546875" style="261" customWidth="1"/>
    <col min="14704" max="14704" width="8.7109375" style="261" customWidth="1"/>
    <col min="14705" max="14705" width="0.85546875" style="261" customWidth="1"/>
    <col min="14706" max="14706" width="14.7109375" style="261" customWidth="1"/>
    <col min="14707" max="14707" width="20" style="261" customWidth="1"/>
    <col min="14708" max="14708" width="0.85546875" style="261" customWidth="1"/>
    <col min="14709" max="14710" width="14.7109375" style="261" customWidth="1"/>
    <col min="14711" max="14711" width="0.85546875" style="261" customWidth="1"/>
    <col min="14712" max="14713" width="14.7109375" style="261" customWidth="1"/>
    <col min="14714" max="14714" width="0.85546875" style="261" customWidth="1"/>
    <col min="14715" max="14715" width="14.7109375" style="261" customWidth="1"/>
    <col min="14716" max="14716" width="0.85546875" style="261" customWidth="1"/>
    <col min="14717" max="14721" width="6.7109375" style="261" customWidth="1"/>
    <col min="14722" max="14956" width="11.42578125" style="261"/>
    <col min="14957" max="14957" width="4" style="261" customWidth="1"/>
    <col min="14958" max="14958" width="25.7109375" style="261" customWidth="1"/>
    <col min="14959" max="14959" width="0.85546875" style="261" customWidth="1"/>
    <col min="14960" max="14960" width="8.7109375" style="261" customWidth="1"/>
    <col min="14961" max="14961" width="0.85546875" style="261" customWidth="1"/>
    <col min="14962" max="14962" width="14.7109375" style="261" customWidth="1"/>
    <col min="14963" max="14963" width="20" style="261" customWidth="1"/>
    <col min="14964" max="14964" width="0.85546875" style="261" customWidth="1"/>
    <col min="14965" max="14966" width="14.7109375" style="261" customWidth="1"/>
    <col min="14967" max="14967" width="0.85546875" style="261" customWidth="1"/>
    <col min="14968" max="14969" width="14.7109375" style="261" customWidth="1"/>
    <col min="14970" max="14970" width="0.85546875" style="261" customWidth="1"/>
    <col min="14971" max="14971" width="14.7109375" style="261" customWidth="1"/>
    <col min="14972" max="14972" width="0.85546875" style="261" customWidth="1"/>
    <col min="14973" max="14977" width="6.7109375" style="261" customWidth="1"/>
    <col min="14978" max="15212" width="11.42578125" style="261"/>
    <col min="15213" max="15213" width="4" style="261" customWidth="1"/>
    <col min="15214" max="15214" width="25.7109375" style="261" customWidth="1"/>
    <col min="15215" max="15215" width="0.85546875" style="261" customWidth="1"/>
    <col min="15216" max="15216" width="8.7109375" style="261" customWidth="1"/>
    <col min="15217" max="15217" width="0.85546875" style="261" customWidth="1"/>
    <col min="15218" max="15218" width="14.7109375" style="261" customWidth="1"/>
    <col min="15219" max="15219" width="20" style="261" customWidth="1"/>
    <col min="15220" max="15220" width="0.85546875" style="261" customWidth="1"/>
    <col min="15221" max="15222" width="14.7109375" style="261" customWidth="1"/>
    <col min="15223" max="15223" width="0.85546875" style="261" customWidth="1"/>
    <col min="15224" max="15225" width="14.7109375" style="261" customWidth="1"/>
    <col min="15226" max="15226" width="0.85546875" style="261" customWidth="1"/>
    <col min="15227" max="15227" width="14.7109375" style="261" customWidth="1"/>
    <col min="15228" max="15228" width="0.85546875" style="261" customWidth="1"/>
    <col min="15229" max="15233" width="6.7109375" style="261" customWidth="1"/>
    <col min="15234" max="15468" width="11.42578125" style="261"/>
    <col min="15469" max="15469" width="4" style="261" customWidth="1"/>
    <col min="15470" max="15470" width="25.7109375" style="261" customWidth="1"/>
    <col min="15471" max="15471" width="0.85546875" style="261" customWidth="1"/>
    <col min="15472" max="15472" width="8.7109375" style="261" customWidth="1"/>
    <col min="15473" max="15473" width="0.85546875" style="261" customWidth="1"/>
    <col min="15474" max="15474" width="14.7109375" style="261" customWidth="1"/>
    <col min="15475" max="15475" width="20" style="261" customWidth="1"/>
    <col min="15476" max="15476" width="0.85546875" style="261" customWidth="1"/>
    <col min="15477" max="15478" width="14.7109375" style="261" customWidth="1"/>
    <col min="15479" max="15479" width="0.85546875" style="261" customWidth="1"/>
    <col min="15480" max="15481" width="14.7109375" style="261" customWidth="1"/>
    <col min="15482" max="15482" width="0.85546875" style="261" customWidth="1"/>
    <col min="15483" max="15483" width="14.7109375" style="261" customWidth="1"/>
    <col min="15484" max="15484" width="0.85546875" style="261" customWidth="1"/>
    <col min="15485" max="15489" width="6.7109375" style="261" customWidth="1"/>
    <col min="15490" max="15724" width="11.42578125" style="261"/>
    <col min="15725" max="15725" width="4" style="261" customWidth="1"/>
    <col min="15726" max="15726" width="25.7109375" style="261" customWidth="1"/>
    <col min="15727" max="15727" width="0.85546875" style="261" customWidth="1"/>
    <col min="15728" max="15728" width="8.7109375" style="261" customWidth="1"/>
    <col min="15729" max="15729" width="0.85546875" style="261" customWidth="1"/>
    <col min="15730" max="15730" width="14.7109375" style="261" customWidth="1"/>
    <col min="15731" max="15731" width="20" style="261" customWidth="1"/>
    <col min="15732" max="15732" width="0.85546875" style="261" customWidth="1"/>
    <col min="15733" max="15734" width="14.7109375" style="261" customWidth="1"/>
    <col min="15735" max="15735" width="0.85546875" style="261" customWidth="1"/>
    <col min="15736" max="15737" width="14.7109375" style="261" customWidth="1"/>
    <col min="15738" max="15738" width="0.85546875" style="261" customWidth="1"/>
    <col min="15739" max="15739" width="14.7109375" style="261" customWidth="1"/>
    <col min="15740" max="15740" width="0.85546875" style="261" customWidth="1"/>
    <col min="15741" max="15745" width="6.7109375" style="261" customWidth="1"/>
    <col min="15746" max="15980" width="11.42578125" style="261"/>
    <col min="15981" max="15981" width="4" style="261" customWidth="1"/>
    <col min="15982" max="15982" width="25.7109375" style="261" customWidth="1"/>
    <col min="15983" max="15983" width="0.85546875" style="261" customWidth="1"/>
    <col min="15984" max="15984" width="8.7109375" style="261" customWidth="1"/>
    <col min="15985" max="15985" width="0.85546875" style="261" customWidth="1"/>
    <col min="15986" max="15986" width="14.7109375" style="261" customWidth="1"/>
    <col min="15987" max="15987" width="20" style="261" customWidth="1"/>
    <col min="15988" max="15988" width="0.85546875" style="261" customWidth="1"/>
    <col min="15989" max="15990" width="14.7109375" style="261" customWidth="1"/>
    <col min="15991" max="15991" width="0.85546875" style="261" customWidth="1"/>
    <col min="15992" max="15993" width="14.7109375" style="261" customWidth="1"/>
    <col min="15994" max="15994" width="0.85546875" style="261" customWidth="1"/>
    <col min="15995" max="15995" width="14.7109375" style="261" customWidth="1"/>
    <col min="15996" max="15996" width="0.85546875" style="261" customWidth="1"/>
    <col min="15997" max="16001" width="6.7109375" style="261" customWidth="1"/>
    <col min="16002" max="16384" width="11.42578125" style="261"/>
  </cols>
  <sheetData>
    <row r="1" spans="2:21" ht="21.95" customHeight="1" x14ac:dyDescent="0.25"/>
    <row r="2" spans="2:21" ht="21.95" customHeight="1" x14ac:dyDescent="0.25">
      <c r="B2" s="848" t="s">
        <v>81</v>
      </c>
      <c r="C2" s="848"/>
      <c r="D2" s="848"/>
      <c r="E2" s="848"/>
      <c r="F2" s="848"/>
      <c r="G2" s="848"/>
      <c r="H2" s="848"/>
      <c r="I2" s="848"/>
      <c r="J2" s="848"/>
      <c r="K2" s="848"/>
      <c r="L2" s="848"/>
      <c r="M2" s="848"/>
      <c r="N2" s="848"/>
      <c r="O2" s="848"/>
      <c r="P2" s="848"/>
      <c r="Q2" s="848"/>
      <c r="R2" s="848"/>
      <c r="S2" s="848"/>
      <c r="T2" s="848"/>
      <c r="U2" s="848"/>
    </row>
    <row r="3" spans="2:21" ht="21.95" customHeight="1" x14ac:dyDescent="0.25">
      <c r="B3" s="263"/>
      <c r="C3" s="263"/>
      <c r="D3" s="263"/>
      <c r="E3" s="263"/>
      <c r="F3" s="360"/>
      <c r="G3" s="360"/>
      <c r="H3" s="360"/>
      <c r="I3" s="360"/>
      <c r="J3" s="360"/>
      <c r="K3" s="360"/>
      <c r="L3" s="360"/>
      <c r="M3" s="360"/>
      <c r="N3" s="263"/>
      <c r="O3" s="263"/>
      <c r="P3" s="263"/>
      <c r="Q3" s="263"/>
      <c r="R3" s="263"/>
      <c r="S3" s="263"/>
    </row>
    <row r="4" spans="2:21" s="362" customFormat="1" ht="21.95" customHeight="1" x14ac:dyDescent="0.25">
      <c r="B4" s="361"/>
      <c r="C4" s="408"/>
      <c r="D4" s="135"/>
      <c r="E4" s="135"/>
      <c r="F4" s="820" t="s">
        <v>170</v>
      </c>
      <c r="G4" s="821"/>
      <c r="H4" s="431"/>
      <c r="I4" s="822" t="str">
        <f>Production!I4</f>
        <v>Décembre 2025</v>
      </c>
      <c r="J4" s="823"/>
      <c r="K4" s="255"/>
      <c r="L4" s="824" t="str">
        <f>Production!L4</f>
        <v>Cumul à fin Décembre 2025</v>
      </c>
      <c r="M4" s="825"/>
      <c r="N4" s="8"/>
      <c r="O4" s="9" t="s">
        <v>0</v>
      </c>
      <c r="P4" s="268"/>
      <c r="Q4" s="849" t="s">
        <v>1</v>
      </c>
      <c r="R4" s="850"/>
      <c r="S4" s="850"/>
      <c r="T4" s="850"/>
      <c r="U4" s="851"/>
    </row>
    <row r="5" spans="2:21" s="362" customFormat="1" ht="30" customHeight="1" x14ac:dyDescent="0.25">
      <c r="B5" s="363"/>
      <c r="D5" s="136"/>
      <c r="F5" s="613" t="str">
        <f>Production!F5</f>
        <v>Décembre</v>
      </c>
      <c r="G5" s="613" t="str">
        <f>Production!G5</f>
        <v>Cumul à fin décembre</v>
      </c>
      <c r="H5" s="614"/>
      <c r="I5" s="11" t="s">
        <v>2</v>
      </c>
      <c r="J5" s="11" t="s">
        <v>3</v>
      </c>
      <c r="K5" s="255"/>
      <c r="L5" s="11" t="s">
        <v>2</v>
      </c>
      <c r="M5" s="11" t="s">
        <v>3</v>
      </c>
      <c r="N5" s="12"/>
      <c r="O5" s="13">
        <v>2025</v>
      </c>
      <c r="P5" s="268"/>
      <c r="Q5" s="849" t="s">
        <v>3</v>
      </c>
      <c r="R5" s="850"/>
      <c r="S5" s="851"/>
      <c r="T5" s="849" t="s">
        <v>4</v>
      </c>
      <c r="U5" s="851"/>
    </row>
    <row r="6" spans="2:21" s="272" customFormat="1" ht="21.95" customHeight="1" x14ac:dyDescent="0.25">
      <c r="B6" s="364" t="s">
        <v>82</v>
      </c>
      <c r="D6" s="41"/>
      <c r="F6" s="273" t="s">
        <v>6</v>
      </c>
      <c r="G6" s="273" t="s">
        <v>7</v>
      </c>
      <c r="H6" s="274"/>
      <c r="I6" s="273" t="s">
        <v>8</v>
      </c>
      <c r="J6" s="273" t="s">
        <v>9</v>
      </c>
      <c r="K6" s="2"/>
      <c r="L6" s="273" t="s">
        <v>10</v>
      </c>
      <c r="M6" s="273" t="s">
        <v>11</v>
      </c>
      <c r="N6" s="275"/>
      <c r="O6" s="273" t="s">
        <v>12</v>
      </c>
      <c r="P6" s="135"/>
      <c r="Q6" s="276" t="s">
        <v>13</v>
      </c>
      <c r="R6" s="276" t="s">
        <v>14</v>
      </c>
      <c r="S6" s="276" t="s">
        <v>15</v>
      </c>
      <c r="T6" s="491" t="s">
        <v>158</v>
      </c>
      <c r="U6" s="491" t="s">
        <v>159</v>
      </c>
    </row>
    <row r="7" spans="2:21" s="365" customFormat="1" ht="6" customHeight="1" x14ac:dyDescent="0.25">
      <c r="D7" s="366"/>
      <c r="F7" s="367"/>
      <c r="G7" s="367"/>
      <c r="H7" s="274"/>
      <c r="I7" s="367"/>
      <c r="J7" s="367"/>
      <c r="K7" s="2"/>
      <c r="L7" s="367"/>
      <c r="M7" s="367"/>
      <c r="N7" s="367"/>
      <c r="O7" s="368"/>
      <c r="P7" s="368"/>
      <c r="Q7" s="368"/>
      <c r="R7" s="368"/>
      <c r="S7" s="368"/>
    </row>
    <row r="8" spans="2:21" s="278" customFormat="1" ht="21.95" customHeight="1" x14ac:dyDescent="0.25">
      <c r="B8" s="524" t="s">
        <v>166</v>
      </c>
      <c r="D8" s="816" t="s">
        <v>164</v>
      </c>
      <c r="E8" s="268"/>
      <c r="F8" s="669"/>
      <c r="G8" s="530"/>
      <c r="H8" s="274"/>
      <c r="I8" s="807"/>
      <c r="J8" s="669"/>
      <c r="K8" s="2"/>
      <c r="L8" s="669"/>
      <c r="M8" s="798"/>
      <c r="N8" s="284"/>
      <c r="O8" s="669"/>
      <c r="Q8" s="526" t="str">
        <f>IFERROR(J8/I8,"-")</f>
        <v>-</v>
      </c>
      <c r="R8" s="527" t="str">
        <f t="shared" ref="R8" si="0">IFERROR(M8/L8,"-")</f>
        <v>-</v>
      </c>
      <c r="S8" s="528" t="str">
        <f t="shared" ref="S8" si="1">IFERROR(M8/O8,"-")</f>
        <v>-</v>
      </c>
      <c r="T8" s="668" t="str">
        <f t="shared" ref="T8" si="2">IFERROR(J8/F8-1,"-")</f>
        <v>-</v>
      </c>
      <c r="U8" s="529" t="str">
        <f t="shared" ref="U8" si="3">IFERROR(M8/G8-1,"-")</f>
        <v>-</v>
      </c>
    </row>
    <row r="9" spans="2:21" s="278" customFormat="1" ht="21.95" customHeight="1" x14ac:dyDescent="0.25">
      <c r="B9" s="288" t="s">
        <v>59</v>
      </c>
      <c r="D9" s="817"/>
      <c r="E9" s="268"/>
      <c r="F9" s="290"/>
      <c r="G9" s="531"/>
      <c r="H9" s="274"/>
      <c r="I9" s="544"/>
      <c r="J9" s="290"/>
      <c r="K9" s="2"/>
      <c r="L9" s="290"/>
      <c r="M9" s="290"/>
      <c r="N9" s="284"/>
      <c r="O9" s="290"/>
      <c r="Q9" s="371" t="str">
        <f>IFERROR(J9/I9,"-")</f>
        <v>-</v>
      </c>
      <c r="R9" s="372" t="str">
        <f t="shared" ref="R9:R14" si="4">IFERROR(M9/L9,"-")</f>
        <v>-</v>
      </c>
      <c r="S9" s="384" t="str">
        <f t="shared" ref="S9:S14" si="5">IFERROR(M9/O9,"-")</f>
        <v>-</v>
      </c>
      <c r="T9" s="291" t="str">
        <f t="shared" ref="T9:T14" si="6">IFERROR(J9/F9-1,"-")</f>
        <v>-</v>
      </c>
      <c r="U9" s="293" t="str">
        <f t="shared" ref="U9:U14" si="7">IFERROR(M9/G9-1,"-")</f>
        <v>-</v>
      </c>
    </row>
    <row r="10" spans="2:21" s="278" customFormat="1" ht="21.95" customHeight="1" x14ac:dyDescent="0.25">
      <c r="B10" s="288" t="s">
        <v>132</v>
      </c>
      <c r="D10" s="817"/>
      <c r="E10" s="268"/>
      <c r="F10" s="511"/>
      <c r="G10" s="686"/>
      <c r="H10" s="274"/>
      <c r="I10" s="808"/>
      <c r="J10" s="549"/>
      <c r="K10" s="2"/>
      <c r="L10" s="549"/>
      <c r="M10" s="481"/>
      <c r="N10" s="284"/>
      <c r="O10" s="549"/>
      <c r="Q10" s="371" t="str">
        <f>IFERROR(J10/I10,"-")</f>
        <v>-</v>
      </c>
      <c r="R10" s="372" t="str">
        <f>IFERROR(M10/L10,"-")</f>
        <v>-</v>
      </c>
      <c r="S10" s="384" t="str">
        <f>IFERROR(M10/O10,"-")</f>
        <v>-</v>
      </c>
      <c r="T10" s="291" t="str">
        <f t="shared" si="6"/>
        <v>-</v>
      </c>
      <c r="U10" s="293" t="str">
        <f t="shared" si="7"/>
        <v>-</v>
      </c>
    </row>
    <row r="11" spans="2:21" s="278" customFormat="1" ht="21.95" customHeight="1" x14ac:dyDescent="0.25">
      <c r="B11" s="288" t="s">
        <v>61</v>
      </c>
      <c r="D11" s="817"/>
      <c r="E11" s="268"/>
      <c r="F11" s="511"/>
      <c r="G11" s="687"/>
      <c r="H11" s="274"/>
      <c r="I11" s="544"/>
      <c r="J11" s="511"/>
      <c r="K11" s="2"/>
      <c r="L11" s="290"/>
      <c r="M11" s="290"/>
      <c r="N11" s="284"/>
      <c r="O11" s="290"/>
      <c r="Q11" s="371" t="str">
        <f>IFERROR(J11/I11,"-")</f>
        <v>-</v>
      </c>
      <c r="R11" s="372" t="str">
        <f>IFERROR(M11/L11,"-")</f>
        <v>-</v>
      </c>
      <c r="S11" s="384" t="str">
        <f>IFERROR(M11/O11,"-")</f>
        <v>-</v>
      </c>
      <c r="T11" s="291" t="str">
        <f t="shared" si="6"/>
        <v>-</v>
      </c>
      <c r="U11" s="293" t="str">
        <f t="shared" si="7"/>
        <v>-</v>
      </c>
    </row>
    <row r="12" spans="2:21" ht="21.95" hidden="1" customHeight="1" x14ac:dyDescent="0.25">
      <c r="B12" s="288" t="s">
        <v>133</v>
      </c>
      <c r="D12" s="817"/>
      <c r="F12" s="511"/>
      <c r="G12" s="686"/>
      <c r="H12" s="274"/>
      <c r="I12" s="543"/>
      <c r="J12" s="549"/>
      <c r="K12" s="2"/>
      <c r="L12" s="511"/>
      <c r="M12" s="511"/>
      <c r="N12" s="284"/>
      <c r="O12" s="511"/>
      <c r="P12" s="362"/>
      <c r="Q12" s="371" t="str">
        <f t="shared" ref="Q12:Q14" si="8">IFERROR(J12/I12,"-")</f>
        <v>-</v>
      </c>
      <c r="R12" s="372" t="str">
        <f t="shared" si="4"/>
        <v>-</v>
      </c>
      <c r="S12" s="384" t="str">
        <f t="shared" si="5"/>
        <v>-</v>
      </c>
      <c r="T12" s="291" t="str">
        <f t="shared" si="6"/>
        <v>-</v>
      </c>
      <c r="U12" s="293" t="str">
        <f t="shared" si="7"/>
        <v>-</v>
      </c>
    </row>
    <row r="13" spans="2:21" ht="21.95" customHeight="1" x14ac:dyDescent="0.25">
      <c r="B13" s="288" t="s">
        <v>180</v>
      </c>
      <c r="D13" s="817"/>
      <c r="F13" s="689"/>
      <c r="G13" s="531"/>
      <c r="H13" s="274"/>
      <c r="I13" s="544"/>
      <c r="J13" s="689"/>
      <c r="K13" s="2"/>
      <c r="L13" s="290"/>
      <c r="M13" s="290"/>
      <c r="N13" s="284"/>
      <c r="O13" s="290"/>
      <c r="P13" s="362"/>
      <c r="Q13" s="371" t="str">
        <f t="shared" si="8"/>
        <v>-</v>
      </c>
      <c r="R13" s="372" t="str">
        <f t="shared" si="4"/>
        <v>-</v>
      </c>
      <c r="S13" s="384" t="str">
        <f t="shared" si="5"/>
        <v>-</v>
      </c>
      <c r="T13" s="291" t="str">
        <f t="shared" si="6"/>
        <v>-</v>
      </c>
      <c r="U13" s="293" t="str">
        <f t="shared" si="7"/>
        <v>-</v>
      </c>
    </row>
    <row r="14" spans="2:21" ht="21.95" customHeight="1" x14ac:dyDescent="0.25">
      <c r="B14" s="373" t="s">
        <v>80</v>
      </c>
      <c r="D14" s="818"/>
      <c r="F14" s="688"/>
      <c r="G14" s="374"/>
      <c r="H14" s="274"/>
      <c r="I14" s="374"/>
      <c r="J14" s="688"/>
      <c r="K14" s="2"/>
      <c r="L14" s="374"/>
      <c r="M14" s="374"/>
      <c r="N14" s="375"/>
      <c r="O14" s="374"/>
      <c r="P14" s="376"/>
      <c r="Q14" s="508" t="str">
        <f t="shared" si="8"/>
        <v>-</v>
      </c>
      <c r="R14" s="509" t="str">
        <f t="shared" si="4"/>
        <v>-</v>
      </c>
      <c r="S14" s="510" t="str">
        <f t="shared" si="5"/>
        <v>-</v>
      </c>
      <c r="T14" s="460" t="str">
        <f t="shared" si="6"/>
        <v>-</v>
      </c>
      <c r="U14" s="462" t="str">
        <f t="shared" si="7"/>
        <v>-</v>
      </c>
    </row>
    <row r="15" spans="2:21" ht="21.95" customHeight="1" x14ac:dyDescent="0.25">
      <c r="F15" s="377"/>
      <c r="G15" s="377"/>
      <c r="H15" s="377"/>
      <c r="I15" s="377"/>
      <c r="J15" s="377"/>
      <c r="K15" s="377"/>
      <c r="L15" s="377"/>
      <c r="M15" s="377"/>
      <c r="N15" s="377"/>
      <c r="O15" s="377"/>
      <c r="P15" s="377"/>
      <c r="Q15" s="377"/>
      <c r="R15" s="377"/>
      <c r="S15" s="377"/>
      <c r="T15" s="377"/>
      <c r="U15" s="377"/>
    </row>
    <row r="16" spans="2:21" s="362" customFormat="1" ht="21.95" customHeight="1" x14ac:dyDescent="0.25">
      <c r="B16" s="485"/>
      <c r="C16" s="135"/>
      <c r="D16" s="135"/>
      <c r="E16" s="135"/>
      <c r="F16" s="820"/>
      <c r="G16" s="821"/>
      <c r="H16" s="431"/>
      <c r="I16" s="822"/>
      <c r="J16" s="823"/>
      <c r="K16" s="255"/>
      <c r="L16" s="824"/>
      <c r="M16" s="825"/>
      <c r="N16" s="8"/>
      <c r="O16" s="9"/>
      <c r="P16" s="268"/>
      <c r="Q16" s="849" t="s">
        <v>1</v>
      </c>
      <c r="R16" s="850"/>
      <c r="S16" s="850"/>
      <c r="T16" s="850"/>
      <c r="U16" s="851"/>
    </row>
    <row r="17" spans="2:21" s="362" customFormat="1" ht="30" customHeight="1" x14ac:dyDescent="0.25">
      <c r="B17" s="363"/>
      <c r="D17" s="136"/>
      <c r="F17" s="613"/>
      <c r="G17" s="613"/>
      <c r="H17" s="614"/>
      <c r="I17" s="11"/>
      <c r="J17" s="11"/>
      <c r="K17" s="255"/>
      <c r="L17" s="11"/>
      <c r="M17" s="11"/>
      <c r="N17" s="12"/>
      <c r="O17" s="13"/>
      <c r="P17" s="268"/>
      <c r="Q17" s="849" t="s">
        <v>3</v>
      </c>
      <c r="R17" s="850"/>
      <c r="S17" s="851"/>
      <c r="T17" s="849" t="s">
        <v>4</v>
      </c>
      <c r="U17" s="851"/>
    </row>
    <row r="18" spans="2:21" s="272" customFormat="1" ht="21.95" customHeight="1" x14ac:dyDescent="0.25">
      <c r="B18" s="582" t="s">
        <v>72</v>
      </c>
      <c r="D18" s="41"/>
      <c r="F18" s="273"/>
      <c r="G18" s="273"/>
      <c r="H18" s="274"/>
      <c r="I18" s="273"/>
      <c r="J18" s="273"/>
      <c r="K18" s="2"/>
      <c r="L18" s="273"/>
      <c r="M18" s="273"/>
      <c r="N18" s="275"/>
      <c r="O18" s="273"/>
      <c r="P18" s="135"/>
      <c r="Q18" s="276" t="s">
        <v>13</v>
      </c>
      <c r="R18" s="276" t="s">
        <v>14</v>
      </c>
      <c r="S18" s="276" t="s">
        <v>15</v>
      </c>
      <c r="T18" s="491" t="s">
        <v>158</v>
      </c>
      <c r="U18" s="491" t="s">
        <v>159</v>
      </c>
    </row>
    <row r="19" spans="2:21" ht="6" customHeight="1" x14ac:dyDescent="0.25">
      <c r="F19" s="378"/>
      <c r="G19" s="378"/>
      <c r="H19" s="274"/>
      <c r="I19" s="378"/>
      <c r="J19" s="378"/>
      <c r="K19" s="2"/>
      <c r="L19" s="378"/>
      <c r="M19" s="378"/>
      <c r="N19" s="378"/>
      <c r="Q19" s="368"/>
      <c r="R19" s="368"/>
      <c r="S19" s="368"/>
      <c r="T19" s="365"/>
      <c r="U19" s="365"/>
    </row>
    <row r="20" spans="2:21" ht="21.95" customHeight="1" x14ac:dyDescent="0.25">
      <c r="B20" s="277" t="s">
        <v>84</v>
      </c>
      <c r="D20" s="889" t="s">
        <v>85</v>
      </c>
      <c r="F20" s="379"/>
      <c r="G20" s="282"/>
      <c r="H20" s="274"/>
      <c r="I20" s="282"/>
      <c r="J20" s="380"/>
      <c r="K20" s="2"/>
      <c r="L20" s="282"/>
      <c r="M20" s="380"/>
      <c r="N20" s="284"/>
      <c r="O20" s="280"/>
      <c r="Q20" s="369" t="str">
        <f>IFERROR(J20/I20,"-")</f>
        <v>-</v>
      </c>
      <c r="R20" s="370" t="str">
        <f>IFERROR(M20/L20,"-")</f>
        <v>-</v>
      </c>
      <c r="S20" s="381" t="str">
        <f>IFERROR(M20/O20,"-")</f>
        <v>-</v>
      </c>
      <c r="T20" s="285" t="str">
        <f>IFERROR(J20/F20-1,"-")</f>
        <v>-</v>
      </c>
      <c r="U20" s="287" t="str">
        <f>IFERROR(M20/G20-1,"-")</f>
        <v>-</v>
      </c>
    </row>
    <row r="21" spans="2:21" ht="21.95" customHeight="1" x14ac:dyDescent="0.25">
      <c r="B21" s="288" t="s">
        <v>57</v>
      </c>
      <c r="D21" s="817"/>
      <c r="F21" s="382"/>
      <c r="G21" s="289"/>
      <c r="H21" s="274"/>
      <c r="I21" s="289"/>
      <c r="J21" s="383"/>
      <c r="K21" s="2"/>
      <c r="L21" s="289"/>
      <c r="M21" s="383"/>
      <c r="N21" s="284"/>
      <c r="O21" s="290"/>
      <c r="Q21" s="371" t="str">
        <f t="shared" ref="Q21:Q25" si="9">IFERROR(J21/I21,"-")</f>
        <v>-</v>
      </c>
      <c r="R21" s="372" t="str">
        <f t="shared" ref="R21:R25" si="10">IFERROR(M21/L21,"-")</f>
        <v>-</v>
      </c>
      <c r="S21" s="384" t="str">
        <f t="shared" ref="S21:S25" si="11">IFERROR(M21/O21,"-")</f>
        <v>-</v>
      </c>
      <c r="T21" s="291" t="str">
        <f t="shared" ref="T21:T25" si="12">IFERROR(J21/F21-1,"-")</f>
        <v>-</v>
      </c>
      <c r="U21" s="293" t="str">
        <f t="shared" ref="U21:U25" si="13">IFERROR(M21/G21-1,"-")</f>
        <v>-</v>
      </c>
    </row>
    <row r="22" spans="2:21" s="278" customFormat="1" ht="21.95" customHeight="1" x14ac:dyDescent="0.25">
      <c r="B22" s="288" t="s">
        <v>83</v>
      </c>
      <c r="D22" s="817"/>
      <c r="E22" s="268"/>
      <c r="F22" s="382"/>
      <c r="G22" s="289"/>
      <c r="H22" s="274"/>
      <c r="I22" s="289"/>
      <c r="J22" s="383"/>
      <c r="K22" s="2"/>
      <c r="L22" s="289"/>
      <c r="M22" s="383"/>
      <c r="N22" s="284"/>
      <c r="O22" s="290"/>
      <c r="Q22" s="371" t="str">
        <f t="shared" si="9"/>
        <v>-</v>
      </c>
      <c r="R22" s="372" t="str">
        <f t="shared" si="10"/>
        <v>-</v>
      </c>
      <c r="S22" s="384" t="str">
        <f t="shared" si="11"/>
        <v>-</v>
      </c>
      <c r="T22" s="291" t="str">
        <f t="shared" si="12"/>
        <v>-</v>
      </c>
      <c r="U22" s="293" t="str">
        <f t="shared" si="13"/>
        <v>-</v>
      </c>
    </row>
    <row r="23" spans="2:21" s="278" customFormat="1" ht="21.95" customHeight="1" x14ac:dyDescent="0.25">
      <c r="B23" s="288" t="s">
        <v>60</v>
      </c>
      <c r="C23" s="385"/>
      <c r="D23" s="817"/>
      <c r="E23" s="268"/>
      <c r="F23" s="382"/>
      <c r="G23" s="289"/>
      <c r="H23" s="274"/>
      <c r="I23" s="289"/>
      <c r="J23" s="383"/>
      <c r="K23" s="2"/>
      <c r="L23" s="289"/>
      <c r="M23" s="383"/>
      <c r="N23" s="284"/>
      <c r="O23" s="290"/>
      <c r="Q23" s="371" t="str">
        <f t="shared" si="9"/>
        <v>-</v>
      </c>
      <c r="R23" s="372" t="str">
        <f t="shared" si="10"/>
        <v>-</v>
      </c>
      <c r="S23" s="384" t="str">
        <f t="shared" si="11"/>
        <v>-</v>
      </c>
      <c r="T23" s="291" t="str">
        <f t="shared" si="12"/>
        <v>-</v>
      </c>
      <c r="U23" s="293" t="str">
        <f t="shared" si="13"/>
        <v>-</v>
      </c>
    </row>
    <row r="24" spans="2:21" ht="21.95" customHeight="1" x14ac:dyDescent="0.25">
      <c r="B24" s="288" t="s">
        <v>189</v>
      </c>
      <c r="D24" s="817"/>
      <c r="F24" s="382"/>
      <c r="G24" s="289"/>
      <c r="H24" s="274"/>
      <c r="I24" s="289"/>
      <c r="J24" s="383"/>
      <c r="K24" s="2"/>
      <c r="L24" s="289"/>
      <c r="M24" s="383"/>
      <c r="N24" s="386"/>
      <c r="O24" s="290"/>
      <c r="P24" s="135"/>
      <c r="Q24" s="471" t="str">
        <f t="shared" si="9"/>
        <v>-</v>
      </c>
      <c r="R24" s="472" t="str">
        <f t="shared" si="10"/>
        <v>-</v>
      </c>
      <c r="S24" s="473" t="str">
        <f t="shared" si="11"/>
        <v>-</v>
      </c>
      <c r="T24" s="458" t="str">
        <f t="shared" si="12"/>
        <v>-</v>
      </c>
      <c r="U24" s="294" t="str">
        <f t="shared" si="13"/>
        <v>-</v>
      </c>
    </row>
    <row r="25" spans="2:21" ht="21.95" customHeight="1" x14ac:dyDescent="0.25">
      <c r="B25" s="373" t="s">
        <v>80</v>
      </c>
      <c r="D25" s="818"/>
      <c r="F25" s="374"/>
      <c r="G25" s="374"/>
      <c r="H25" s="274"/>
      <c r="I25" s="374"/>
      <c r="J25" s="374"/>
      <c r="K25" s="2"/>
      <c r="L25" s="374"/>
      <c r="M25" s="374"/>
      <c r="N25" s="387"/>
      <c r="O25" s="374"/>
      <c r="Q25" s="508" t="str">
        <f t="shared" si="9"/>
        <v>-</v>
      </c>
      <c r="R25" s="509" t="str">
        <f t="shared" si="10"/>
        <v>-</v>
      </c>
      <c r="S25" s="510" t="str">
        <f t="shared" si="11"/>
        <v>-</v>
      </c>
      <c r="T25" s="659" t="str">
        <f t="shared" si="12"/>
        <v>-</v>
      </c>
      <c r="U25" s="462" t="str">
        <f t="shared" si="13"/>
        <v>-</v>
      </c>
    </row>
    <row r="26" spans="2:21" ht="21.95" customHeight="1" x14ac:dyDescent="0.25">
      <c r="B26" s="888" t="s">
        <v>190</v>
      </c>
      <c r="C26" s="888"/>
      <c r="D26" s="888"/>
      <c r="E26" s="888"/>
      <c r="F26" s="888"/>
      <c r="G26" s="377"/>
      <c r="H26" s="377"/>
      <c r="I26" s="377"/>
      <c r="J26" s="377"/>
      <c r="K26" s="377"/>
      <c r="L26" s="377"/>
      <c r="M26" s="377"/>
      <c r="N26" s="377"/>
      <c r="O26" s="377"/>
      <c r="P26" s="377"/>
      <c r="Q26" s="377"/>
      <c r="R26" s="377"/>
      <c r="S26" s="377"/>
    </row>
    <row r="27" spans="2:21" ht="21.95" customHeight="1" x14ac:dyDescent="0.25">
      <c r="F27" s="377"/>
      <c r="G27" s="377"/>
      <c r="H27" s="377"/>
      <c r="I27" s="377"/>
      <c r="J27" s="377"/>
      <c r="K27" s="377"/>
      <c r="L27" s="377"/>
      <c r="M27" s="377"/>
      <c r="N27" s="377"/>
      <c r="O27" s="377"/>
      <c r="P27" s="377"/>
      <c r="Q27" s="377"/>
    </row>
    <row r="28" spans="2:21" ht="21.95" customHeight="1" x14ac:dyDescent="0.25">
      <c r="D28" s="388"/>
      <c r="E28" s="378"/>
      <c r="F28" s="377"/>
      <c r="G28" s="377"/>
      <c r="H28" s="377"/>
      <c r="I28" s="377"/>
      <c r="J28" s="377"/>
      <c r="K28" s="377"/>
      <c r="L28" s="377"/>
      <c r="M28" s="377"/>
      <c r="N28" s="377"/>
      <c r="O28" s="377"/>
      <c r="P28" s="377"/>
      <c r="Q28" s="377"/>
    </row>
    <row r="29" spans="2:21" ht="21.95" customHeight="1" x14ac:dyDescent="0.25">
      <c r="F29" s="377"/>
      <c r="G29" s="377"/>
      <c r="H29" s="377"/>
      <c r="I29" s="377"/>
      <c r="J29" s="377"/>
      <c r="K29" s="377"/>
      <c r="L29" s="377"/>
      <c r="M29" s="377"/>
      <c r="N29" s="377"/>
      <c r="O29" s="377"/>
      <c r="P29" s="377"/>
      <c r="Q29" s="377"/>
      <c r="R29" s="377"/>
      <c r="S29" s="377"/>
    </row>
    <row r="30" spans="2:21" ht="21.95" customHeight="1" x14ac:dyDescent="0.25">
      <c r="F30" s="377"/>
      <c r="G30" s="377"/>
      <c r="H30" s="377"/>
      <c r="I30" s="377"/>
      <c r="J30" s="377"/>
      <c r="K30" s="377"/>
      <c r="L30" s="377"/>
      <c r="M30" s="377"/>
      <c r="N30" s="377"/>
      <c r="O30" s="377"/>
      <c r="P30" s="377"/>
      <c r="Q30" s="377"/>
      <c r="R30" s="377"/>
      <c r="S30" s="377"/>
    </row>
    <row r="31" spans="2:21" ht="21.95" customHeight="1" x14ac:dyDescent="0.25">
      <c r="F31" s="377"/>
      <c r="G31" s="377"/>
      <c r="H31" s="377"/>
      <c r="I31" s="377"/>
      <c r="J31" s="377"/>
      <c r="K31" s="377"/>
      <c r="L31" s="377"/>
      <c r="M31" s="377"/>
      <c r="N31" s="377"/>
      <c r="O31" s="377"/>
      <c r="P31" s="377"/>
      <c r="Q31" s="377"/>
    </row>
    <row r="32" spans="2:21" ht="21.95" customHeight="1" x14ac:dyDescent="0.25">
      <c r="F32" s="487"/>
      <c r="G32" s="487"/>
      <c r="H32" s="487"/>
      <c r="I32" s="487"/>
      <c r="J32" s="487"/>
      <c r="K32" s="487"/>
      <c r="L32" s="487"/>
      <c r="M32" s="487"/>
      <c r="N32" s="487"/>
      <c r="O32" s="487"/>
      <c r="P32" s="487"/>
    </row>
    <row r="33" spans="6:16" ht="21.95" customHeight="1" x14ac:dyDescent="0.25">
      <c r="F33" s="487"/>
      <c r="G33" s="487"/>
      <c r="H33" s="487"/>
      <c r="I33" s="487"/>
      <c r="J33" s="487"/>
      <c r="K33" s="487"/>
      <c r="L33" s="487"/>
      <c r="M33" s="487"/>
      <c r="N33" s="487"/>
      <c r="O33" s="487"/>
      <c r="P33" s="487"/>
    </row>
    <row r="34" spans="6:16" ht="21.95" customHeight="1" x14ac:dyDescent="0.25">
      <c r="F34" s="487"/>
      <c r="G34" s="487"/>
      <c r="H34" s="487"/>
      <c r="I34" s="487"/>
      <c r="J34" s="487"/>
      <c r="K34" s="487"/>
      <c r="L34" s="487"/>
      <c r="M34" s="487"/>
      <c r="N34" s="487"/>
      <c r="O34" s="487"/>
      <c r="P34" s="487"/>
    </row>
    <row r="35" spans="6:16" ht="21.95" customHeight="1" x14ac:dyDescent="0.25">
      <c r="F35" s="487"/>
      <c r="G35" s="487"/>
      <c r="H35" s="487"/>
      <c r="I35" s="487"/>
      <c r="J35" s="487"/>
      <c r="K35" s="487"/>
      <c r="L35" s="487"/>
      <c r="M35" s="487"/>
      <c r="N35" s="487"/>
      <c r="O35" s="487"/>
      <c r="P35" s="487"/>
    </row>
    <row r="36" spans="6:16" ht="21.95" customHeight="1" x14ac:dyDescent="0.25">
      <c r="F36" s="487"/>
      <c r="G36" s="487"/>
      <c r="H36" s="487"/>
      <c r="I36" s="487"/>
      <c r="J36" s="487"/>
      <c r="K36" s="487"/>
      <c r="L36" s="487"/>
      <c r="M36" s="487"/>
      <c r="N36" s="487"/>
      <c r="O36" s="487"/>
    </row>
    <row r="37" spans="6:16" ht="21.95" customHeight="1" x14ac:dyDescent="0.25">
      <c r="F37" s="487"/>
      <c r="G37" s="487"/>
      <c r="H37" s="487"/>
      <c r="I37" s="487"/>
      <c r="J37" s="487"/>
      <c r="K37" s="487"/>
      <c r="L37" s="487"/>
      <c r="M37" s="487"/>
      <c r="N37" s="487"/>
      <c r="O37" s="487"/>
    </row>
    <row r="38" spans="6:16" ht="21.95" customHeight="1" x14ac:dyDescent="0.25">
      <c r="F38" s="487"/>
      <c r="G38" s="487"/>
      <c r="H38" s="487"/>
      <c r="I38" s="487"/>
      <c r="J38" s="487"/>
      <c r="K38" s="487"/>
      <c r="L38" s="487"/>
      <c r="M38" s="487"/>
      <c r="N38" s="487"/>
      <c r="O38" s="487"/>
    </row>
    <row r="39" spans="6:16" ht="21.95" customHeight="1" x14ac:dyDescent="0.25"/>
    <row r="40" spans="6:16" ht="21.95" customHeight="1" x14ac:dyDescent="0.25"/>
    <row r="41" spans="6:16" ht="21.95" customHeight="1" x14ac:dyDescent="0.25"/>
    <row r="42" spans="6:16" ht="21.95" customHeight="1" x14ac:dyDescent="0.25"/>
    <row r="43" spans="6:16" ht="21.95" customHeight="1" x14ac:dyDescent="0.25"/>
    <row r="44" spans="6:16" ht="21.95" customHeight="1" x14ac:dyDescent="0.25"/>
    <row r="45" spans="6:16" ht="21.95" customHeight="1" x14ac:dyDescent="0.25"/>
    <row r="46" spans="6:16" ht="21.95" customHeight="1" x14ac:dyDescent="0.25"/>
  </sheetData>
  <mergeCells count="16">
    <mergeCell ref="D8:D14"/>
    <mergeCell ref="B2:U2"/>
    <mergeCell ref="F4:G4"/>
    <mergeCell ref="I4:J4"/>
    <mergeCell ref="L4:M4"/>
    <mergeCell ref="Q4:U4"/>
    <mergeCell ref="Q16:U16"/>
    <mergeCell ref="Q17:S17"/>
    <mergeCell ref="T17:U17"/>
    <mergeCell ref="Q5:S5"/>
    <mergeCell ref="T5:U5"/>
    <mergeCell ref="B26:F26"/>
    <mergeCell ref="D20:D25"/>
    <mergeCell ref="F16:G16"/>
    <mergeCell ref="I16:J16"/>
    <mergeCell ref="L16:M16"/>
  </mergeCell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73" orientation="landscape" r:id="rId1"/>
  <headerFooter>
    <oddFooter>&amp;LDCP SPE &amp;R&amp;P</oddFooter>
  </headerFooter>
  <customProperties>
    <customPr name="EpmWorksheetKeyString_GUID" r:id="rId2"/>
  </customProperties>
  <ignoredErrors>
    <ignoredError sqref="F6:J6 L6:O6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B54CE-6BC5-44F4-A2AE-78BFF8EBAD38}">
  <sheetPr>
    <pageSetUpPr fitToPage="1"/>
  </sheetPr>
  <dimension ref="A1:IC102"/>
  <sheetViews>
    <sheetView showGridLines="0" view="pageBreakPreview" topLeftCell="B1" zoomScale="86" zoomScaleNormal="86" zoomScaleSheetLayoutView="86" workbookViewId="0">
      <selection activeCell="L21" sqref="L21"/>
    </sheetView>
  </sheetViews>
  <sheetFormatPr baseColWidth="10" defaultRowHeight="12.75" x14ac:dyDescent="0.25"/>
  <cols>
    <col min="1" max="1" width="4" style="741" customWidth="1"/>
    <col min="2" max="2" width="45.28515625" style="742" customWidth="1"/>
    <col min="3" max="3" width="1.5703125" style="741" customWidth="1"/>
    <col min="4" max="4" width="20.7109375" style="741" customWidth="1"/>
    <col min="5" max="5" width="0.85546875" style="741" customWidth="1"/>
    <col min="6" max="6" width="20.7109375" style="741" customWidth="1"/>
    <col min="7" max="7" width="1.5703125" style="741" customWidth="1"/>
    <col min="8" max="8" width="20.7109375" style="741" customWidth="1"/>
    <col min="9" max="9" width="20.28515625" style="741" bestFit="1" customWidth="1"/>
    <col min="10" max="10" width="11.42578125" style="741"/>
    <col min="11" max="11" width="18.42578125" style="741" bestFit="1" customWidth="1"/>
    <col min="12" max="16384" width="11.42578125" style="741"/>
  </cols>
  <sheetData>
    <row r="1" spans="1:237" ht="20.25" customHeight="1" x14ac:dyDescent="0.25"/>
    <row r="2" spans="1:237" ht="20.25" customHeight="1" x14ac:dyDescent="0.25">
      <c r="B2" s="890" t="s">
        <v>86</v>
      </c>
      <c r="C2" s="891"/>
      <c r="D2" s="891"/>
      <c r="E2" s="891"/>
      <c r="F2" s="891"/>
      <c r="G2" s="891"/>
      <c r="H2" s="891"/>
    </row>
    <row r="3" spans="1:237" ht="18" customHeight="1" x14ac:dyDescent="0.25">
      <c r="B3" s="803"/>
      <c r="C3" s="803"/>
    </row>
    <row r="4" spans="1:237" s="743" customFormat="1" ht="18" customHeight="1" x14ac:dyDescent="0.25">
      <c r="B4" s="744"/>
      <c r="C4" s="745"/>
      <c r="D4" s="892" t="s">
        <v>199</v>
      </c>
      <c r="E4" s="741"/>
      <c r="F4" s="746" t="s">
        <v>192</v>
      </c>
      <c r="G4" s="747"/>
      <c r="H4" s="748" t="s">
        <v>1</v>
      </c>
    </row>
    <row r="5" spans="1:237" s="743" customFormat="1" ht="18" customHeight="1" x14ac:dyDescent="0.25">
      <c r="B5" s="749"/>
      <c r="D5" s="893"/>
      <c r="E5" s="741"/>
      <c r="F5" s="750">
        <v>2025</v>
      </c>
      <c r="G5" s="751"/>
      <c r="H5" s="752" t="s">
        <v>3</v>
      </c>
    </row>
    <row r="6" spans="1:237" s="204" customFormat="1" ht="18" customHeight="1" x14ac:dyDescent="0.25">
      <c r="B6" s="742" t="s">
        <v>87</v>
      </c>
      <c r="D6" s="753" t="s">
        <v>6</v>
      </c>
      <c r="E6" s="741"/>
      <c r="F6" s="754" t="s">
        <v>7</v>
      </c>
      <c r="G6" s="753"/>
      <c r="H6" s="755" t="s">
        <v>88</v>
      </c>
      <c r="O6" s="690"/>
      <c r="P6" s="690"/>
    </row>
    <row r="7" spans="1:237" s="743" customFormat="1" ht="15" customHeight="1" x14ac:dyDescent="0.25">
      <c r="B7" s="756" t="s">
        <v>114</v>
      </c>
      <c r="D7" s="757">
        <f>D8+D9+D10+D11+D12</f>
        <v>0</v>
      </c>
      <c r="E7" s="741"/>
      <c r="F7" s="757">
        <f>SUM(F8:F12)</f>
        <v>0</v>
      </c>
      <c r="G7" s="758"/>
      <c r="H7" s="759" t="e">
        <f t="shared" ref="H7:H27" si="0">+D7/F7</f>
        <v>#DIV/0!</v>
      </c>
      <c r="I7" s="760"/>
      <c r="J7" s="761"/>
      <c r="K7" s="762"/>
      <c r="L7" s="761"/>
      <c r="M7" s="761"/>
      <c r="N7" s="761"/>
      <c r="O7" s="690"/>
      <c r="P7" s="690"/>
    </row>
    <row r="8" spans="1:237" ht="17.100000000000001" customHeight="1" x14ac:dyDescent="0.25">
      <c r="B8" s="763" t="s">
        <v>115</v>
      </c>
      <c r="C8" s="743"/>
      <c r="D8" s="764"/>
      <c r="F8" s="765"/>
      <c r="G8" s="765"/>
      <c r="H8" s="766" t="e">
        <f t="shared" si="0"/>
        <v>#DIV/0!</v>
      </c>
      <c r="I8" s="760"/>
      <c r="J8" s="761"/>
      <c r="K8" s="762"/>
      <c r="L8" s="761"/>
      <c r="M8" s="761"/>
      <c r="N8" s="761"/>
      <c r="O8" s="690"/>
      <c r="P8" s="690"/>
    </row>
    <row r="9" spans="1:237" ht="14.25" customHeight="1" x14ac:dyDescent="0.25">
      <c r="B9" s="763" t="s">
        <v>169</v>
      </c>
      <c r="C9" s="743"/>
      <c r="D9" s="764"/>
      <c r="F9" s="765"/>
      <c r="G9" s="765"/>
      <c r="H9" s="766" t="e">
        <f t="shared" si="0"/>
        <v>#DIV/0!</v>
      </c>
      <c r="I9" s="760"/>
      <c r="J9" s="761"/>
      <c r="K9" s="762"/>
      <c r="L9" s="761"/>
      <c r="M9" s="761"/>
      <c r="N9" s="761"/>
      <c r="O9" s="690"/>
      <c r="P9" s="690"/>
    </row>
    <row r="10" spans="1:237" s="743" customFormat="1" ht="18" customHeight="1" x14ac:dyDescent="0.25">
      <c r="A10" s="741"/>
      <c r="B10" s="767" t="s">
        <v>116</v>
      </c>
      <c r="D10" s="764"/>
      <c r="E10" s="741"/>
      <c r="F10" s="765"/>
      <c r="G10" s="765"/>
      <c r="H10" s="766" t="e">
        <f t="shared" si="0"/>
        <v>#DIV/0!</v>
      </c>
      <c r="I10" s="760"/>
      <c r="J10" s="761"/>
      <c r="K10" s="762"/>
      <c r="L10" s="761"/>
      <c r="M10" s="761"/>
      <c r="N10" s="761"/>
      <c r="O10" s="690"/>
      <c r="P10" s="690"/>
      <c r="Q10" s="741"/>
      <c r="R10" s="741"/>
      <c r="S10" s="741"/>
      <c r="T10" s="741"/>
      <c r="U10" s="741"/>
      <c r="V10" s="741"/>
      <c r="W10" s="741"/>
      <c r="X10" s="741"/>
      <c r="Y10" s="741"/>
      <c r="Z10" s="741"/>
      <c r="AA10" s="741"/>
      <c r="AB10" s="741"/>
      <c r="AC10" s="741"/>
      <c r="AD10" s="741"/>
      <c r="AE10" s="741"/>
      <c r="AF10" s="741"/>
      <c r="AG10" s="741"/>
      <c r="AH10" s="741"/>
      <c r="AI10" s="741"/>
      <c r="AJ10" s="741"/>
      <c r="AK10" s="741"/>
      <c r="AL10" s="741"/>
      <c r="AM10" s="741"/>
      <c r="AN10" s="741"/>
      <c r="AO10" s="741"/>
      <c r="AP10" s="741"/>
      <c r="AQ10" s="741"/>
      <c r="AR10" s="741"/>
      <c r="AS10" s="741"/>
      <c r="AT10" s="741"/>
      <c r="AU10" s="741"/>
      <c r="AV10" s="741"/>
      <c r="AW10" s="741"/>
      <c r="AX10" s="741"/>
      <c r="AY10" s="741"/>
      <c r="AZ10" s="741"/>
      <c r="BA10" s="741"/>
      <c r="BB10" s="741"/>
      <c r="BC10" s="741"/>
      <c r="BD10" s="741"/>
      <c r="BE10" s="741"/>
      <c r="BF10" s="741"/>
      <c r="BG10" s="741"/>
      <c r="BH10" s="741"/>
      <c r="BI10" s="741"/>
      <c r="BJ10" s="741"/>
      <c r="BK10" s="741"/>
      <c r="BL10" s="741"/>
      <c r="BM10" s="741"/>
      <c r="BN10" s="741"/>
      <c r="BO10" s="741"/>
      <c r="BP10" s="741"/>
      <c r="BQ10" s="741"/>
      <c r="BR10" s="741"/>
      <c r="BS10" s="741"/>
      <c r="BT10" s="741"/>
      <c r="BU10" s="741"/>
      <c r="BV10" s="741"/>
      <c r="BW10" s="741"/>
      <c r="BX10" s="741"/>
      <c r="BY10" s="741"/>
      <c r="BZ10" s="741"/>
      <c r="CA10" s="741"/>
      <c r="CB10" s="741"/>
      <c r="CC10" s="741"/>
      <c r="CD10" s="741"/>
      <c r="CE10" s="741"/>
      <c r="CF10" s="741"/>
      <c r="CG10" s="741"/>
      <c r="CH10" s="741"/>
      <c r="CI10" s="741"/>
      <c r="CJ10" s="741"/>
      <c r="CK10" s="741"/>
      <c r="CL10" s="741"/>
      <c r="CM10" s="741"/>
      <c r="CN10" s="741"/>
      <c r="CO10" s="741"/>
      <c r="CP10" s="741"/>
      <c r="CQ10" s="741"/>
      <c r="CR10" s="741"/>
      <c r="CS10" s="741"/>
      <c r="CT10" s="741"/>
      <c r="CU10" s="741"/>
      <c r="CV10" s="741"/>
      <c r="CW10" s="741"/>
      <c r="CX10" s="741"/>
      <c r="CY10" s="741"/>
      <c r="CZ10" s="741"/>
      <c r="DA10" s="741"/>
      <c r="DB10" s="741"/>
      <c r="DC10" s="741"/>
      <c r="DD10" s="741"/>
      <c r="DE10" s="741"/>
      <c r="DF10" s="741"/>
      <c r="DG10" s="741"/>
      <c r="DH10" s="741"/>
      <c r="DI10" s="741"/>
      <c r="DJ10" s="741"/>
      <c r="DK10" s="741"/>
      <c r="DL10" s="741"/>
      <c r="DM10" s="741"/>
      <c r="DN10" s="741"/>
      <c r="DO10" s="741"/>
      <c r="DP10" s="741"/>
      <c r="DQ10" s="741"/>
      <c r="DR10" s="741"/>
      <c r="DS10" s="741"/>
      <c r="DT10" s="741"/>
      <c r="DU10" s="741"/>
      <c r="DV10" s="741"/>
      <c r="DW10" s="741"/>
      <c r="DX10" s="741"/>
      <c r="DY10" s="741"/>
      <c r="DZ10" s="741"/>
      <c r="EA10" s="741"/>
      <c r="EB10" s="741"/>
      <c r="EC10" s="741"/>
      <c r="ED10" s="741"/>
      <c r="EE10" s="741"/>
      <c r="EF10" s="741"/>
      <c r="EG10" s="741"/>
      <c r="EH10" s="741"/>
      <c r="EI10" s="741"/>
      <c r="EJ10" s="741"/>
      <c r="EK10" s="741"/>
      <c r="EL10" s="741"/>
      <c r="EM10" s="741"/>
      <c r="EN10" s="741"/>
      <c r="EO10" s="741"/>
      <c r="EP10" s="741"/>
      <c r="EQ10" s="741"/>
      <c r="ER10" s="741"/>
      <c r="ES10" s="741"/>
      <c r="ET10" s="741"/>
      <c r="EU10" s="741"/>
      <c r="EV10" s="741"/>
      <c r="EW10" s="741"/>
      <c r="EX10" s="741"/>
      <c r="EY10" s="741"/>
      <c r="EZ10" s="741"/>
      <c r="FA10" s="741"/>
      <c r="FB10" s="741"/>
      <c r="FC10" s="741"/>
      <c r="FD10" s="741"/>
      <c r="FE10" s="741"/>
      <c r="FF10" s="741"/>
      <c r="FG10" s="741"/>
      <c r="FH10" s="741"/>
      <c r="FI10" s="741"/>
      <c r="FJ10" s="741"/>
      <c r="FK10" s="741"/>
      <c r="FL10" s="741"/>
      <c r="FM10" s="741"/>
      <c r="FN10" s="741"/>
      <c r="FO10" s="741"/>
      <c r="FP10" s="741"/>
      <c r="FQ10" s="741"/>
      <c r="FR10" s="741"/>
      <c r="FS10" s="741"/>
      <c r="FT10" s="741"/>
      <c r="FU10" s="741"/>
      <c r="FV10" s="741"/>
      <c r="FW10" s="741"/>
      <c r="FX10" s="741"/>
      <c r="FY10" s="741"/>
      <c r="FZ10" s="741"/>
      <c r="GA10" s="741"/>
      <c r="GB10" s="741"/>
      <c r="GC10" s="741"/>
      <c r="GD10" s="741"/>
      <c r="GE10" s="741"/>
      <c r="GF10" s="741"/>
      <c r="GG10" s="741"/>
      <c r="GH10" s="741"/>
      <c r="GI10" s="741"/>
      <c r="GJ10" s="741"/>
      <c r="GK10" s="741"/>
      <c r="GL10" s="741"/>
      <c r="GM10" s="741"/>
      <c r="GN10" s="741"/>
      <c r="GO10" s="741"/>
      <c r="GP10" s="741"/>
      <c r="GQ10" s="741"/>
      <c r="GR10" s="741"/>
      <c r="GS10" s="741"/>
      <c r="GT10" s="741"/>
      <c r="GU10" s="741"/>
      <c r="GV10" s="741"/>
      <c r="GW10" s="741"/>
      <c r="GX10" s="741"/>
      <c r="GY10" s="741"/>
      <c r="GZ10" s="741"/>
      <c r="HA10" s="741"/>
      <c r="HB10" s="741"/>
      <c r="HC10" s="741"/>
      <c r="HD10" s="741"/>
      <c r="HE10" s="741"/>
      <c r="HF10" s="741"/>
      <c r="HG10" s="741"/>
      <c r="HH10" s="741"/>
      <c r="HI10" s="741"/>
      <c r="HJ10" s="741"/>
      <c r="HK10" s="741"/>
      <c r="HL10" s="741"/>
      <c r="HM10" s="741"/>
      <c r="HN10" s="741"/>
      <c r="HO10" s="741"/>
      <c r="HP10" s="741"/>
      <c r="HQ10" s="741"/>
      <c r="HR10" s="741"/>
      <c r="HS10" s="741"/>
      <c r="HT10" s="741"/>
      <c r="HU10" s="741"/>
      <c r="HV10" s="741"/>
      <c r="HW10" s="741"/>
      <c r="HX10" s="741"/>
      <c r="HY10" s="741"/>
      <c r="HZ10" s="741"/>
      <c r="IA10" s="741"/>
      <c r="IB10" s="741"/>
      <c r="IC10" s="741"/>
    </row>
    <row r="11" spans="1:237" ht="17.100000000000001" customHeight="1" x14ac:dyDescent="0.25">
      <c r="B11" s="767" t="s">
        <v>117</v>
      </c>
      <c r="C11" s="743"/>
      <c r="D11" s="764"/>
      <c r="F11" s="765"/>
      <c r="G11" s="765"/>
      <c r="H11" s="766" t="e">
        <f t="shared" si="0"/>
        <v>#DIV/0!</v>
      </c>
      <c r="I11" s="760"/>
      <c r="J11" s="761"/>
      <c r="K11" s="762"/>
      <c r="L11" s="761"/>
      <c r="M11" s="761"/>
      <c r="N11" s="761"/>
      <c r="O11" s="690"/>
      <c r="P11" s="690"/>
    </row>
    <row r="12" spans="1:237" ht="17.100000000000001" customHeight="1" x14ac:dyDescent="0.25">
      <c r="A12" s="743"/>
      <c r="B12" s="768" t="s">
        <v>125</v>
      </c>
      <c r="C12" s="743"/>
      <c r="D12" s="769"/>
      <c r="F12" s="770"/>
      <c r="G12" s="765"/>
      <c r="H12" s="771" t="e">
        <f t="shared" si="0"/>
        <v>#DIV/0!</v>
      </c>
      <c r="I12" s="760"/>
      <c r="J12" s="761"/>
      <c r="K12" s="762"/>
      <c r="L12" s="761"/>
      <c r="M12" s="761"/>
      <c r="N12" s="761"/>
      <c r="O12" s="690"/>
      <c r="P12" s="690"/>
      <c r="Q12" s="743"/>
      <c r="R12" s="743"/>
      <c r="S12" s="743"/>
      <c r="T12" s="743"/>
      <c r="U12" s="743"/>
      <c r="V12" s="743"/>
      <c r="W12" s="743"/>
      <c r="X12" s="743"/>
      <c r="Y12" s="743"/>
      <c r="Z12" s="743"/>
      <c r="AA12" s="743"/>
      <c r="AB12" s="743"/>
      <c r="AC12" s="743"/>
      <c r="AD12" s="743"/>
      <c r="AE12" s="743"/>
      <c r="AF12" s="743"/>
      <c r="AG12" s="743"/>
      <c r="AH12" s="743"/>
      <c r="AI12" s="743"/>
      <c r="AJ12" s="743"/>
      <c r="AK12" s="743"/>
      <c r="AL12" s="743"/>
      <c r="AM12" s="743"/>
      <c r="AN12" s="743"/>
      <c r="AO12" s="743"/>
      <c r="AP12" s="743"/>
      <c r="AQ12" s="743"/>
      <c r="AR12" s="743"/>
      <c r="AS12" s="743"/>
      <c r="AT12" s="743"/>
      <c r="AU12" s="743"/>
      <c r="AV12" s="743"/>
      <c r="AW12" s="743"/>
      <c r="AX12" s="743"/>
      <c r="AY12" s="743"/>
      <c r="AZ12" s="743"/>
      <c r="BA12" s="743"/>
      <c r="BB12" s="743"/>
      <c r="BC12" s="743"/>
      <c r="BD12" s="743"/>
      <c r="BE12" s="743"/>
      <c r="BF12" s="743"/>
      <c r="BG12" s="743"/>
      <c r="BH12" s="743"/>
      <c r="BI12" s="743"/>
      <c r="BJ12" s="743"/>
      <c r="BK12" s="743"/>
      <c r="BL12" s="743"/>
      <c r="BM12" s="743"/>
      <c r="BN12" s="743"/>
      <c r="BO12" s="743"/>
      <c r="BP12" s="743"/>
      <c r="BQ12" s="743"/>
      <c r="BR12" s="743"/>
      <c r="BS12" s="743"/>
      <c r="BT12" s="743"/>
      <c r="BU12" s="743"/>
      <c r="BV12" s="743"/>
      <c r="BW12" s="743"/>
      <c r="BX12" s="743"/>
      <c r="BY12" s="743"/>
      <c r="BZ12" s="743"/>
      <c r="CA12" s="743"/>
      <c r="CB12" s="743"/>
      <c r="CC12" s="743"/>
      <c r="CD12" s="743"/>
      <c r="CE12" s="743"/>
      <c r="CF12" s="743"/>
      <c r="CG12" s="743"/>
      <c r="CH12" s="743"/>
      <c r="CI12" s="743"/>
      <c r="CJ12" s="743"/>
      <c r="CK12" s="743"/>
      <c r="CL12" s="743"/>
      <c r="CM12" s="743"/>
      <c r="CN12" s="743"/>
      <c r="CO12" s="743"/>
      <c r="CP12" s="743"/>
      <c r="CQ12" s="743"/>
      <c r="CR12" s="743"/>
      <c r="CS12" s="743"/>
      <c r="CT12" s="743"/>
      <c r="CU12" s="743"/>
      <c r="CV12" s="743"/>
      <c r="CW12" s="743"/>
      <c r="CX12" s="743"/>
      <c r="CY12" s="743"/>
      <c r="CZ12" s="743"/>
      <c r="DA12" s="743"/>
      <c r="DB12" s="743"/>
      <c r="DC12" s="743"/>
      <c r="DD12" s="743"/>
      <c r="DE12" s="743"/>
      <c r="DF12" s="743"/>
      <c r="DG12" s="743"/>
      <c r="DH12" s="743"/>
      <c r="DI12" s="743"/>
      <c r="DJ12" s="743"/>
      <c r="DK12" s="743"/>
      <c r="DL12" s="743"/>
      <c r="DM12" s="743"/>
      <c r="DN12" s="743"/>
      <c r="DO12" s="743"/>
      <c r="DP12" s="743"/>
      <c r="DQ12" s="743"/>
      <c r="DR12" s="743"/>
      <c r="DS12" s="743"/>
      <c r="DT12" s="743"/>
      <c r="DU12" s="743"/>
      <c r="DV12" s="743"/>
      <c r="DW12" s="743"/>
      <c r="DX12" s="743"/>
      <c r="DY12" s="743"/>
      <c r="DZ12" s="743"/>
      <c r="EA12" s="743"/>
      <c r="EB12" s="743"/>
      <c r="EC12" s="743"/>
      <c r="ED12" s="743"/>
      <c r="EE12" s="743"/>
      <c r="EF12" s="743"/>
      <c r="EG12" s="743"/>
      <c r="EH12" s="743"/>
      <c r="EI12" s="743"/>
      <c r="EJ12" s="743"/>
      <c r="EK12" s="743"/>
      <c r="EL12" s="743"/>
      <c r="EM12" s="743"/>
      <c r="EN12" s="743"/>
      <c r="EO12" s="743"/>
      <c r="EP12" s="743"/>
      <c r="EQ12" s="743"/>
      <c r="ER12" s="743"/>
      <c r="ES12" s="743"/>
      <c r="ET12" s="743"/>
      <c r="EU12" s="743"/>
      <c r="EV12" s="743"/>
      <c r="EW12" s="743"/>
      <c r="EX12" s="743"/>
      <c r="EY12" s="743"/>
      <c r="EZ12" s="743"/>
      <c r="FA12" s="743"/>
      <c r="FB12" s="743"/>
      <c r="FC12" s="743"/>
      <c r="FD12" s="743"/>
      <c r="FE12" s="743"/>
      <c r="FF12" s="743"/>
      <c r="FG12" s="743"/>
      <c r="FH12" s="743"/>
      <c r="FI12" s="743"/>
      <c r="FJ12" s="743"/>
      <c r="FK12" s="743"/>
      <c r="FL12" s="743"/>
      <c r="FM12" s="743"/>
      <c r="FN12" s="743"/>
      <c r="FO12" s="743"/>
      <c r="FP12" s="743"/>
      <c r="FQ12" s="743"/>
      <c r="FR12" s="743"/>
      <c r="FS12" s="743"/>
      <c r="FT12" s="743"/>
      <c r="FU12" s="743"/>
      <c r="FV12" s="743"/>
      <c r="FW12" s="743"/>
      <c r="FX12" s="743"/>
      <c r="FY12" s="743"/>
      <c r="FZ12" s="743"/>
      <c r="GA12" s="743"/>
      <c r="GB12" s="743"/>
      <c r="GC12" s="743"/>
      <c r="GD12" s="743"/>
      <c r="GE12" s="743"/>
      <c r="GF12" s="743"/>
      <c r="GG12" s="743"/>
      <c r="GH12" s="743"/>
      <c r="GI12" s="743"/>
      <c r="GJ12" s="743"/>
      <c r="GK12" s="743"/>
      <c r="GL12" s="743"/>
      <c r="GM12" s="743"/>
      <c r="GN12" s="743"/>
      <c r="GO12" s="743"/>
      <c r="GP12" s="743"/>
      <c r="GQ12" s="743"/>
      <c r="GR12" s="743"/>
      <c r="GS12" s="743"/>
      <c r="GT12" s="743"/>
      <c r="GU12" s="743"/>
      <c r="GV12" s="743"/>
      <c r="GW12" s="743"/>
      <c r="GX12" s="743"/>
      <c r="GY12" s="743"/>
      <c r="GZ12" s="743"/>
      <c r="HA12" s="743"/>
      <c r="HB12" s="743"/>
      <c r="HC12" s="743"/>
      <c r="HD12" s="743"/>
      <c r="HE12" s="743"/>
      <c r="HF12" s="743"/>
      <c r="HG12" s="743"/>
      <c r="HH12" s="743"/>
      <c r="HI12" s="743"/>
      <c r="HJ12" s="743"/>
      <c r="HK12" s="743"/>
      <c r="HL12" s="743"/>
      <c r="HM12" s="743"/>
      <c r="HN12" s="743"/>
      <c r="HO12" s="743"/>
      <c r="HP12" s="743"/>
      <c r="HQ12" s="743"/>
      <c r="HR12" s="743"/>
      <c r="HS12" s="743"/>
      <c r="HT12" s="743"/>
      <c r="HU12" s="743"/>
      <c r="HV12" s="743"/>
      <c r="HW12" s="743"/>
      <c r="HX12" s="743"/>
      <c r="HY12" s="743"/>
      <c r="HZ12" s="743"/>
      <c r="IA12" s="743"/>
      <c r="IB12" s="743"/>
      <c r="IC12" s="743"/>
    </row>
    <row r="13" spans="1:237" ht="15" customHeight="1" x14ac:dyDescent="0.25">
      <c r="B13" s="756" t="s">
        <v>89</v>
      </c>
      <c r="C13" s="743"/>
      <c r="D13" s="757"/>
      <c r="F13" s="757"/>
      <c r="G13" s="758"/>
      <c r="H13" s="759" t="e">
        <f t="shared" si="0"/>
        <v>#DIV/0!</v>
      </c>
      <c r="I13" s="760"/>
      <c r="J13" s="761"/>
      <c r="K13" s="762"/>
      <c r="L13" s="761"/>
      <c r="M13" s="761"/>
      <c r="N13" s="761"/>
      <c r="O13" s="690"/>
      <c r="P13" s="690"/>
    </row>
    <row r="14" spans="1:237" ht="17.100000000000001" customHeight="1" x14ac:dyDescent="0.25">
      <c r="B14" s="772" t="s">
        <v>90</v>
      </c>
      <c r="C14" s="743"/>
      <c r="D14" s="773"/>
      <c r="F14" s="773"/>
      <c r="G14" s="765"/>
      <c r="H14" s="774" t="e">
        <f t="shared" si="0"/>
        <v>#DIV/0!</v>
      </c>
      <c r="I14" s="760"/>
      <c r="J14" s="761"/>
      <c r="K14" s="762"/>
      <c r="L14" s="761"/>
      <c r="M14" s="761"/>
      <c r="N14" s="761"/>
      <c r="O14" s="690"/>
      <c r="P14" s="690"/>
    </row>
    <row r="15" spans="1:237" ht="17.100000000000001" customHeight="1" x14ac:dyDescent="0.25">
      <c r="B15" s="775" t="s">
        <v>91</v>
      </c>
      <c r="C15" s="743"/>
      <c r="D15" s="765"/>
      <c r="F15" s="765"/>
      <c r="G15" s="765"/>
      <c r="H15" s="766" t="e">
        <f t="shared" si="0"/>
        <v>#DIV/0!</v>
      </c>
      <c r="I15" s="760"/>
      <c r="J15" s="761"/>
      <c r="K15" s="762"/>
      <c r="L15" s="761"/>
      <c r="M15" s="761"/>
      <c r="N15" s="761"/>
      <c r="O15" s="690"/>
      <c r="P15" s="690"/>
    </row>
    <row r="16" spans="1:237" ht="11.25" customHeight="1" x14ac:dyDescent="0.25">
      <c r="B16" s="768" t="s">
        <v>134</v>
      </c>
      <c r="C16" s="743"/>
      <c r="D16" s="770"/>
      <c r="F16" s="770"/>
      <c r="G16" s="765"/>
      <c r="H16" s="771" t="e">
        <f t="shared" si="0"/>
        <v>#DIV/0!</v>
      </c>
      <c r="I16" s="760"/>
      <c r="J16" s="761"/>
      <c r="K16" s="762"/>
      <c r="L16" s="761"/>
      <c r="M16" s="761"/>
      <c r="N16" s="761"/>
      <c r="O16" s="690"/>
      <c r="P16" s="690"/>
    </row>
    <row r="17" spans="1:16" ht="14.25" customHeight="1" x14ac:dyDescent="0.25">
      <c r="B17" s="756" t="s">
        <v>118</v>
      </c>
      <c r="C17" s="743"/>
      <c r="D17" s="776"/>
      <c r="F17" s="777"/>
      <c r="G17" s="758"/>
      <c r="H17" s="759" t="e">
        <f t="shared" si="0"/>
        <v>#DIV/0!</v>
      </c>
      <c r="I17" s="760"/>
      <c r="J17" s="761"/>
      <c r="K17" s="762"/>
      <c r="L17" s="761"/>
      <c r="M17" s="761"/>
      <c r="N17" s="761"/>
      <c r="O17" s="690"/>
      <c r="P17" s="690"/>
    </row>
    <row r="18" spans="1:16" s="781" customFormat="1" ht="17.100000000000001" customHeight="1" x14ac:dyDescent="0.25">
      <c r="A18" s="741"/>
      <c r="B18" s="778" t="s">
        <v>119</v>
      </c>
      <c r="C18" s="743"/>
      <c r="D18" s="779"/>
      <c r="E18" s="741"/>
      <c r="F18" s="779"/>
      <c r="G18" s="758"/>
      <c r="H18" s="780" t="e">
        <f t="shared" si="0"/>
        <v>#DIV/0!</v>
      </c>
      <c r="I18" s="760"/>
      <c r="J18" s="761"/>
      <c r="K18" s="762"/>
      <c r="L18" s="761"/>
      <c r="M18" s="761"/>
      <c r="N18" s="761"/>
      <c r="O18" s="690"/>
      <c r="P18" s="690"/>
    </row>
    <row r="19" spans="1:16" ht="17.100000000000001" customHeight="1" x14ac:dyDescent="0.25">
      <c r="B19" s="767" t="s">
        <v>126</v>
      </c>
      <c r="C19" s="743"/>
      <c r="D19" s="765"/>
      <c r="F19" s="764"/>
      <c r="G19" s="758"/>
      <c r="H19" s="782" t="e">
        <f t="shared" si="0"/>
        <v>#DIV/0!</v>
      </c>
      <c r="I19" s="760"/>
      <c r="J19" s="761"/>
      <c r="K19" s="762"/>
      <c r="L19" s="761"/>
      <c r="M19" s="761"/>
      <c r="N19" s="761"/>
      <c r="O19" s="690"/>
      <c r="P19" s="690"/>
    </row>
    <row r="20" spans="1:16" ht="17.100000000000001" customHeight="1" x14ac:dyDescent="0.25">
      <c r="B20" s="775" t="s">
        <v>127</v>
      </c>
      <c r="C20" s="743"/>
      <c r="D20" s="765"/>
      <c r="F20" s="764"/>
      <c r="G20" s="758"/>
      <c r="H20" s="783" t="e">
        <f t="shared" si="0"/>
        <v>#DIV/0!</v>
      </c>
      <c r="I20" s="760"/>
      <c r="J20" s="761"/>
      <c r="K20" s="762"/>
      <c r="L20" s="761"/>
      <c r="M20" s="761"/>
      <c r="N20" s="761"/>
      <c r="O20" s="690"/>
      <c r="P20" s="690"/>
    </row>
    <row r="21" spans="1:16" ht="15" customHeight="1" x14ac:dyDescent="0.25">
      <c r="B21" s="756" t="s">
        <v>120</v>
      </c>
      <c r="C21" s="743"/>
      <c r="D21" s="776"/>
      <c r="F21" s="777"/>
      <c r="G21" s="758"/>
      <c r="H21" s="759" t="e">
        <f t="shared" si="0"/>
        <v>#DIV/0!</v>
      </c>
      <c r="I21" s="760"/>
      <c r="J21" s="761"/>
      <c r="K21" s="762"/>
      <c r="L21" s="761"/>
      <c r="M21" s="761"/>
      <c r="N21" s="761"/>
      <c r="O21" s="690"/>
      <c r="P21" s="690"/>
    </row>
    <row r="22" spans="1:16" ht="17.100000000000001" customHeight="1" x14ac:dyDescent="0.25">
      <c r="B22" s="778" t="s">
        <v>128</v>
      </c>
      <c r="C22" s="743"/>
      <c r="D22" s="773"/>
      <c r="F22" s="779"/>
      <c r="G22" s="758"/>
      <c r="H22" s="780" t="e">
        <f t="shared" si="0"/>
        <v>#DIV/0!</v>
      </c>
      <c r="I22" s="760"/>
      <c r="J22" s="761"/>
      <c r="K22" s="762"/>
      <c r="L22" s="761"/>
      <c r="M22" s="761"/>
      <c r="N22" s="761"/>
      <c r="O22" s="690"/>
      <c r="P22" s="690"/>
    </row>
    <row r="23" spans="1:16" s="781" customFormat="1" ht="17.100000000000001" customHeight="1" x14ac:dyDescent="0.25">
      <c r="A23" s="741"/>
      <c r="B23" s="775" t="s">
        <v>129</v>
      </c>
      <c r="C23" s="743"/>
      <c r="D23" s="765"/>
      <c r="E23" s="741"/>
      <c r="F23" s="765"/>
      <c r="G23" s="758"/>
      <c r="H23" s="784" t="e">
        <f t="shared" si="0"/>
        <v>#DIV/0!</v>
      </c>
      <c r="I23" s="760"/>
      <c r="J23" s="761"/>
      <c r="K23" s="762"/>
      <c r="L23" s="761"/>
      <c r="M23" s="761"/>
      <c r="N23" s="761"/>
      <c r="O23" s="690"/>
      <c r="P23" s="690"/>
    </row>
    <row r="24" spans="1:16" ht="17.100000000000001" customHeight="1" x14ac:dyDescent="0.25">
      <c r="A24" s="781"/>
      <c r="B24" s="775" t="s">
        <v>130</v>
      </c>
      <c r="C24" s="743"/>
      <c r="D24" s="765"/>
      <c r="F24" s="765"/>
      <c r="G24" s="758"/>
      <c r="H24" s="784" t="e">
        <f t="shared" si="0"/>
        <v>#DIV/0!</v>
      </c>
      <c r="I24" s="760"/>
      <c r="J24" s="761"/>
      <c r="K24" s="762"/>
      <c r="L24" s="761"/>
      <c r="M24" s="761"/>
      <c r="N24" s="761"/>
      <c r="O24" s="690"/>
      <c r="P24" s="690"/>
    </row>
    <row r="25" spans="1:16" ht="17.100000000000001" customHeight="1" x14ac:dyDescent="0.25">
      <c r="A25" s="781"/>
      <c r="B25" s="775" t="s">
        <v>143</v>
      </c>
      <c r="C25" s="743"/>
      <c r="D25" s="765"/>
      <c r="F25" s="765"/>
      <c r="G25" s="758"/>
      <c r="H25" s="784" t="e">
        <f t="shared" si="0"/>
        <v>#DIV/0!</v>
      </c>
      <c r="I25" s="760"/>
      <c r="J25" s="761"/>
      <c r="K25" s="762"/>
      <c r="L25" s="761"/>
      <c r="M25" s="761"/>
      <c r="N25" s="761"/>
      <c r="O25" s="690"/>
      <c r="P25" s="690"/>
    </row>
    <row r="26" spans="1:16" ht="15" customHeight="1" x14ac:dyDescent="0.25">
      <c r="B26" s="756" t="s">
        <v>135</v>
      </c>
      <c r="C26" s="743"/>
      <c r="D26" s="757"/>
      <c r="F26" s="757"/>
      <c r="G26" s="758"/>
      <c r="H26" s="759" t="e">
        <f t="shared" si="0"/>
        <v>#DIV/0!</v>
      </c>
      <c r="I26" s="760"/>
      <c r="J26" s="761"/>
      <c r="K26" s="762"/>
      <c r="L26" s="761"/>
      <c r="M26" s="761"/>
      <c r="N26" s="761"/>
      <c r="O26" s="690"/>
      <c r="P26" s="690"/>
    </row>
    <row r="27" spans="1:16" ht="15" customHeight="1" x14ac:dyDescent="0.25">
      <c r="B27" s="756" t="s">
        <v>144</v>
      </c>
      <c r="C27" s="743"/>
      <c r="D27" s="757"/>
      <c r="F27" s="757"/>
      <c r="G27" s="758"/>
      <c r="H27" s="759" t="e">
        <f t="shared" si="0"/>
        <v>#DIV/0!</v>
      </c>
      <c r="I27" s="760"/>
      <c r="J27" s="761"/>
      <c r="K27" s="762"/>
      <c r="L27" s="761"/>
      <c r="M27" s="761"/>
      <c r="N27" s="761"/>
      <c r="O27" s="690"/>
      <c r="P27" s="690"/>
    </row>
    <row r="28" spans="1:16" ht="7.5" customHeight="1" x14ac:dyDescent="0.25">
      <c r="B28" s="785"/>
      <c r="C28" s="743"/>
      <c r="D28" s="786"/>
      <c r="F28" s="786"/>
      <c r="G28" s="787"/>
      <c r="H28" s="788"/>
      <c r="I28" s="760"/>
      <c r="J28" s="761"/>
      <c r="K28" s="762"/>
      <c r="L28" s="761"/>
      <c r="M28" s="761"/>
      <c r="N28" s="761"/>
      <c r="O28" s="690"/>
      <c r="P28" s="690"/>
    </row>
    <row r="29" spans="1:16" ht="17.25" customHeight="1" x14ac:dyDescent="0.25">
      <c r="B29" s="756" t="s">
        <v>92</v>
      </c>
      <c r="C29" s="743"/>
      <c r="D29" s="757"/>
      <c r="F29" s="757"/>
      <c r="G29" s="758"/>
      <c r="H29" s="759" t="e">
        <f>+D29/F29</f>
        <v>#DIV/0!</v>
      </c>
      <c r="I29" s="760"/>
      <c r="J29" s="761"/>
      <c r="K29" s="762"/>
      <c r="L29" s="761"/>
      <c r="M29" s="761"/>
      <c r="N29" s="761"/>
      <c r="O29" s="690"/>
      <c r="P29" s="690"/>
    </row>
    <row r="30" spans="1:16" ht="17.25" customHeight="1" x14ac:dyDescent="0.25">
      <c r="B30" s="756" t="s">
        <v>93</v>
      </c>
      <c r="C30" s="743"/>
      <c r="D30" s="757"/>
      <c r="F30" s="757"/>
      <c r="G30" s="758"/>
      <c r="H30" s="759" t="e">
        <f>+D30/F30</f>
        <v>#DIV/0!</v>
      </c>
      <c r="I30" s="760"/>
      <c r="J30" s="761"/>
      <c r="K30" s="762"/>
      <c r="L30" s="761"/>
      <c r="M30" s="761"/>
      <c r="N30" s="761"/>
    </row>
    <row r="31" spans="1:16" ht="20.25" customHeight="1" x14ac:dyDescent="0.25">
      <c r="B31" s="789"/>
      <c r="D31" s="790"/>
      <c r="E31" s="790"/>
      <c r="F31" s="790"/>
      <c r="G31" s="790"/>
      <c r="J31" s="761"/>
      <c r="K31" s="762"/>
      <c r="L31" s="761"/>
      <c r="M31" s="761"/>
    </row>
    <row r="32" spans="1:16" ht="20.25" customHeight="1" x14ac:dyDescent="0.25">
      <c r="D32" s="791"/>
      <c r="F32" s="143"/>
      <c r="G32" s="790"/>
      <c r="J32" s="761"/>
      <c r="K32" s="762"/>
      <c r="L32" s="761"/>
      <c r="M32" s="761"/>
    </row>
    <row r="33" spans="2:10" ht="20.25" customHeight="1" x14ac:dyDescent="0.25">
      <c r="D33" s="792"/>
      <c r="E33" s="792"/>
      <c r="F33" s="792"/>
      <c r="G33" s="792"/>
      <c r="J33" s="761"/>
    </row>
    <row r="34" spans="2:10" ht="20.25" customHeight="1" x14ac:dyDescent="0.25">
      <c r="B34" s="789"/>
      <c r="D34" s="792"/>
      <c r="E34" s="792"/>
      <c r="F34" s="792"/>
      <c r="G34" s="792">
        <f t="shared" ref="G34" si="1">G32-G30</f>
        <v>0</v>
      </c>
    </row>
    <row r="35" spans="2:10" ht="20.25" customHeight="1" x14ac:dyDescent="0.25">
      <c r="D35" s="792"/>
      <c r="E35" s="792"/>
      <c r="F35" s="793"/>
      <c r="G35" s="792"/>
    </row>
    <row r="36" spans="2:10" ht="20.25" customHeight="1" x14ac:dyDescent="0.25">
      <c r="D36" s="792"/>
      <c r="E36" s="792"/>
      <c r="F36" s="793"/>
    </row>
    <row r="37" spans="2:10" ht="20.25" customHeight="1" x14ac:dyDescent="0.25"/>
    <row r="38" spans="2:10" ht="20.25" customHeight="1" x14ac:dyDescent="0.25"/>
    <row r="39" spans="2:10" ht="20.25" customHeight="1" x14ac:dyDescent="0.25"/>
    <row r="40" spans="2:10" ht="20.25" customHeight="1" x14ac:dyDescent="0.25"/>
    <row r="41" spans="2:10" ht="20.25" customHeight="1" x14ac:dyDescent="0.25"/>
    <row r="42" spans="2:10" ht="20.25" customHeight="1" x14ac:dyDescent="0.25"/>
    <row r="43" spans="2:10" ht="20.25" customHeight="1" x14ac:dyDescent="0.25"/>
    <row r="44" spans="2:10" ht="20.25" customHeight="1" x14ac:dyDescent="0.25"/>
    <row r="45" spans="2:10" ht="20.25" customHeight="1" x14ac:dyDescent="0.25"/>
    <row r="46" spans="2:10" ht="20.25" customHeight="1" x14ac:dyDescent="0.25"/>
    <row r="47" spans="2:10" ht="20.25" customHeight="1" x14ac:dyDescent="0.25"/>
    <row r="48" spans="2:10" ht="20.25" customHeight="1" x14ac:dyDescent="0.25"/>
    <row r="49" ht="20.25" customHeight="1" x14ac:dyDescent="0.25"/>
    <row r="50" ht="20.25" customHeight="1" x14ac:dyDescent="0.25"/>
    <row r="51" ht="20.25" customHeight="1" x14ac:dyDescent="0.25"/>
    <row r="52" ht="20.25" customHeight="1" x14ac:dyDescent="0.25"/>
    <row r="53" ht="20.25" customHeight="1" x14ac:dyDescent="0.25"/>
    <row r="54" ht="20.25" customHeight="1" x14ac:dyDescent="0.25"/>
    <row r="55" ht="20.25" customHeight="1" x14ac:dyDescent="0.25"/>
    <row r="56" ht="20.25" customHeight="1" x14ac:dyDescent="0.25"/>
    <row r="57" ht="20.25" customHeight="1" x14ac:dyDescent="0.25"/>
    <row r="58" ht="20.25" customHeight="1" x14ac:dyDescent="0.25"/>
    <row r="59" ht="20.25" customHeight="1" x14ac:dyDescent="0.25"/>
    <row r="60" ht="20.25" customHeight="1" x14ac:dyDescent="0.25"/>
    <row r="61" ht="20.25" customHeight="1" x14ac:dyDescent="0.25"/>
    <row r="62" ht="20.25" customHeight="1" x14ac:dyDescent="0.25"/>
    <row r="63" ht="20.25" customHeight="1" x14ac:dyDescent="0.25"/>
    <row r="64" ht="20.25" customHeight="1" x14ac:dyDescent="0.25"/>
    <row r="65" ht="20.25" customHeight="1" x14ac:dyDescent="0.25"/>
    <row r="66" ht="20.25" customHeight="1" x14ac:dyDescent="0.25"/>
    <row r="67" ht="20.25" customHeight="1" x14ac:dyDescent="0.25"/>
    <row r="68" ht="20.25" customHeight="1" x14ac:dyDescent="0.25"/>
    <row r="69" ht="20.25" customHeight="1" x14ac:dyDescent="0.25"/>
    <row r="70" ht="20.25" customHeight="1" x14ac:dyDescent="0.25"/>
    <row r="71" ht="20.25" customHeight="1" x14ac:dyDescent="0.25"/>
    <row r="72" ht="20.25" customHeight="1" x14ac:dyDescent="0.25"/>
    <row r="73" ht="20.25" customHeight="1" x14ac:dyDescent="0.25"/>
    <row r="74" ht="20.25" customHeight="1" x14ac:dyDescent="0.25"/>
    <row r="75" ht="20.25" customHeight="1" x14ac:dyDescent="0.25"/>
    <row r="76" ht="20.25" customHeight="1" x14ac:dyDescent="0.25"/>
    <row r="77" ht="20.25" customHeight="1" x14ac:dyDescent="0.25"/>
    <row r="78" ht="20.25" customHeight="1" x14ac:dyDescent="0.25"/>
    <row r="79" ht="20.25" customHeight="1" x14ac:dyDescent="0.25"/>
    <row r="80" ht="20.25" customHeight="1" x14ac:dyDescent="0.25"/>
    <row r="81" ht="20.25" customHeight="1" x14ac:dyDescent="0.25"/>
    <row r="82" ht="20.25" customHeight="1" x14ac:dyDescent="0.25"/>
    <row r="83" ht="20.25" customHeight="1" x14ac:dyDescent="0.25"/>
    <row r="84" ht="20.25" customHeight="1" x14ac:dyDescent="0.25"/>
    <row r="85" ht="20.25" customHeight="1" x14ac:dyDescent="0.25"/>
    <row r="86" ht="20.25" customHeight="1" x14ac:dyDescent="0.25"/>
    <row r="87" ht="20.25" customHeight="1" x14ac:dyDescent="0.25"/>
    <row r="88" ht="20.25" customHeight="1" x14ac:dyDescent="0.25"/>
    <row r="89" ht="20.25" customHeight="1" x14ac:dyDescent="0.25"/>
    <row r="90" ht="20.25" customHeight="1" x14ac:dyDescent="0.25"/>
    <row r="91" ht="20.25" customHeight="1" x14ac:dyDescent="0.25"/>
    <row r="92" ht="20.25" customHeight="1" x14ac:dyDescent="0.25"/>
    <row r="93" ht="20.25" customHeight="1" x14ac:dyDescent="0.25"/>
    <row r="94" ht="20.25" customHeight="1" x14ac:dyDescent="0.25"/>
    <row r="95" ht="20.25" customHeight="1" x14ac:dyDescent="0.25"/>
    <row r="96" ht="20.25" customHeight="1" x14ac:dyDescent="0.25"/>
    <row r="97" ht="20.25" customHeight="1" x14ac:dyDescent="0.25"/>
    <row r="98" ht="20.25" customHeight="1" x14ac:dyDescent="0.25"/>
    <row r="99" ht="20.25" customHeight="1" x14ac:dyDescent="0.25"/>
    <row r="100" ht="20.25" customHeight="1" x14ac:dyDescent="0.25"/>
    <row r="101" ht="20.25" customHeight="1" x14ac:dyDescent="0.25"/>
    <row r="102" ht="20.25" customHeight="1" x14ac:dyDescent="0.25"/>
  </sheetData>
  <mergeCells count="2">
    <mergeCell ref="B2:H2"/>
    <mergeCell ref="D4:D5"/>
  </mergeCells>
  <printOptions horizontalCentered="1" verticalCentered="1"/>
  <pageMargins left="0.39370078740157483" right="0.39370078740157483" top="0.39370078740157483" bottom="0.39370078740157483" header="0" footer="0"/>
  <pageSetup paperSize="9" orientation="landscape" r:id="rId1"/>
  <headerFooter alignWithMargins="0">
    <oddFooter>&amp;LDCP SPE&amp;R&amp;P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46"/>
  <sheetViews>
    <sheetView showGridLines="0" view="pageBreakPreview" zoomScale="85" zoomScaleNormal="80" zoomScaleSheetLayoutView="85" workbookViewId="0">
      <selection activeCell="D15" sqref="D15"/>
    </sheetView>
  </sheetViews>
  <sheetFormatPr baseColWidth="10" defaultColWidth="11.42578125" defaultRowHeight="12.75" x14ac:dyDescent="0.25"/>
  <cols>
    <col min="1" max="1" width="4" style="184" customWidth="1"/>
    <col min="2" max="2" width="34.140625" style="183" customWidth="1"/>
    <col min="3" max="3" width="1.7109375" style="184" customWidth="1"/>
    <col min="4" max="4" width="20.7109375" style="184" customWidth="1"/>
    <col min="5" max="5" width="1.7109375" style="184" customWidth="1"/>
    <col min="6" max="6" width="20.7109375" style="185" customWidth="1"/>
    <col min="7" max="7" width="1.7109375" style="184" customWidth="1"/>
    <col min="8" max="8" width="15.7109375" style="184" customWidth="1"/>
    <col min="9" max="233" width="11.42578125" style="184"/>
    <col min="234" max="234" width="4" style="184" customWidth="1"/>
    <col min="235" max="235" width="34.140625" style="184" customWidth="1"/>
    <col min="236" max="236" width="1.7109375" style="184" customWidth="1"/>
    <col min="237" max="237" width="23.28515625" style="184" customWidth="1"/>
    <col min="238" max="238" width="1.7109375" style="184" customWidth="1"/>
    <col min="239" max="239" width="23" style="184" customWidth="1"/>
    <col min="240" max="240" width="1.7109375" style="184" customWidth="1"/>
    <col min="241" max="241" width="15.7109375" style="184" customWidth="1"/>
    <col min="242" max="489" width="11.42578125" style="184"/>
    <col min="490" max="490" width="4" style="184" customWidth="1"/>
    <col min="491" max="491" width="34.140625" style="184" customWidth="1"/>
    <col min="492" max="492" width="1.7109375" style="184" customWidth="1"/>
    <col min="493" max="493" width="23.28515625" style="184" customWidth="1"/>
    <col min="494" max="494" width="1.7109375" style="184" customWidth="1"/>
    <col min="495" max="495" width="23" style="184" customWidth="1"/>
    <col min="496" max="496" width="1.7109375" style="184" customWidth="1"/>
    <col min="497" max="497" width="15.7109375" style="184" customWidth="1"/>
    <col min="498" max="745" width="11.42578125" style="184"/>
    <col min="746" max="746" width="4" style="184" customWidth="1"/>
    <col min="747" max="747" width="34.140625" style="184" customWidth="1"/>
    <col min="748" max="748" width="1.7109375" style="184" customWidth="1"/>
    <col min="749" max="749" width="23.28515625" style="184" customWidth="1"/>
    <col min="750" max="750" width="1.7109375" style="184" customWidth="1"/>
    <col min="751" max="751" width="23" style="184" customWidth="1"/>
    <col min="752" max="752" width="1.7109375" style="184" customWidth="1"/>
    <col min="753" max="753" width="15.7109375" style="184" customWidth="1"/>
    <col min="754" max="1001" width="11.42578125" style="184"/>
    <col min="1002" max="1002" width="4" style="184" customWidth="1"/>
    <col min="1003" max="1003" width="34.140625" style="184" customWidth="1"/>
    <col min="1004" max="1004" width="1.7109375" style="184" customWidth="1"/>
    <col min="1005" max="1005" width="23.28515625" style="184" customWidth="1"/>
    <col min="1006" max="1006" width="1.7109375" style="184" customWidth="1"/>
    <col min="1007" max="1007" width="23" style="184" customWidth="1"/>
    <col min="1008" max="1008" width="1.7109375" style="184" customWidth="1"/>
    <col min="1009" max="1009" width="15.7109375" style="184" customWidth="1"/>
    <col min="1010" max="1257" width="11.42578125" style="184"/>
    <col min="1258" max="1258" width="4" style="184" customWidth="1"/>
    <col min="1259" max="1259" width="34.140625" style="184" customWidth="1"/>
    <col min="1260" max="1260" width="1.7109375" style="184" customWidth="1"/>
    <col min="1261" max="1261" width="23.28515625" style="184" customWidth="1"/>
    <col min="1262" max="1262" width="1.7109375" style="184" customWidth="1"/>
    <col min="1263" max="1263" width="23" style="184" customWidth="1"/>
    <col min="1264" max="1264" width="1.7109375" style="184" customWidth="1"/>
    <col min="1265" max="1265" width="15.7109375" style="184" customWidth="1"/>
    <col min="1266" max="1513" width="11.42578125" style="184"/>
    <col min="1514" max="1514" width="4" style="184" customWidth="1"/>
    <col min="1515" max="1515" width="34.140625" style="184" customWidth="1"/>
    <col min="1516" max="1516" width="1.7109375" style="184" customWidth="1"/>
    <col min="1517" max="1517" width="23.28515625" style="184" customWidth="1"/>
    <col min="1518" max="1518" width="1.7109375" style="184" customWidth="1"/>
    <col min="1519" max="1519" width="23" style="184" customWidth="1"/>
    <col min="1520" max="1520" width="1.7109375" style="184" customWidth="1"/>
    <col min="1521" max="1521" width="15.7109375" style="184" customWidth="1"/>
    <col min="1522" max="1769" width="11.42578125" style="184"/>
    <col min="1770" max="1770" width="4" style="184" customWidth="1"/>
    <col min="1771" max="1771" width="34.140625" style="184" customWidth="1"/>
    <col min="1772" max="1772" width="1.7109375" style="184" customWidth="1"/>
    <col min="1773" max="1773" width="23.28515625" style="184" customWidth="1"/>
    <col min="1774" max="1774" width="1.7109375" style="184" customWidth="1"/>
    <col min="1775" max="1775" width="23" style="184" customWidth="1"/>
    <col min="1776" max="1776" width="1.7109375" style="184" customWidth="1"/>
    <col min="1777" max="1777" width="15.7109375" style="184" customWidth="1"/>
    <col min="1778" max="2025" width="11.42578125" style="184"/>
    <col min="2026" max="2026" width="4" style="184" customWidth="1"/>
    <col min="2027" max="2027" width="34.140625" style="184" customWidth="1"/>
    <col min="2028" max="2028" width="1.7109375" style="184" customWidth="1"/>
    <col min="2029" max="2029" width="23.28515625" style="184" customWidth="1"/>
    <col min="2030" max="2030" width="1.7109375" style="184" customWidth="1"/>
    <col min="2031" max="2031" width="23" style="184" customWidth="1"/>
    <col min="2032" max="2032" width="1.7109375" style="184" customWidth="1"/>
    <col min="2033" max="2033" width="15.7109375" style="184" customWidth="1"/>
    <col min="2034" max="2281" width="11.42578125" style="184"/>
    <col min="2282" max="2282" width="4" style="184" customWidth="1"/>
    <col min="2283" max="2283" width="34.140625" style="184" customWidth="1"/>
    <col min="2284" max="2284" width="1.7109375" style="184" customWidth="1"/>
    <col min="2285" max="2285" width="23.28515625" style="184" customWidth="1"/>
    <col min="2286" max="2286" width="1.7109375" style="184" customWidth="1"/>
    <col min="2287" max="2287" width="23" style="184" customWidth="1"/>
    <col min="2288" max="2288" width="1.7109375" style="184" customWidth="1"/>
    <col min="2289" max="2289" width="15.7109375" style="184" customWidth="1"/>
    <col min="2290" max="2537" width="11.42578125" style="184"/>
    <col min="2538" max="2538" width="4" style="184" customWidth="1"/>
    <col min="2539" max="2539" width="34.140625" style="184" customWidth="1"/>
    <col min="2540" max="2540" width="1.7109375" style="184" customWidth="1"/>
    <col min="2541" max="2541" width="23.28515625" style="184" customWidth="1"/>
    <col min="2542" max="2542" width="1.7109375" style="184" customWidth="1"/>
    <col min="2543" max="2543" width="23" style="184" customWidth="1"/>
    <col min="2544" max="2544" width="1.7109375" style="184" customWidth="1"/>
    <col min="2545" max="2545" width="15.7109375" style="184" customWidth="1"/>
    <col min="2546" max="2793" width="11.42578125" style="184"/>
    <col min="2794" max="2794" width="4" style="184" customWidth="1"/>
    <col min="2795" max="2795" width="34.140625" style="184" customWidth="1"/>
    <col min="2796" max="2796" width="1.7109375" style="184" customWidth="1"/>
    <col min="2797" max="2797" width="23.28515625" style="184" customWidth="1"/>
    <col min="2798" max="2798" width="1.7109375" style="184" customWidth="1"/>
    <col min="2799" max="2799" width="23" style="184" customWidth="1"/>
    <col min="2800" max="2800" width="1.7109375" style="184" customWidth="1"/>
    <col min="2801" max="2801" width="15.7109375" style="184" customWidth="1"/>
    <col min="2802" max="3049" width="11.42578125" style="184"/>
    <col min="3050" max="3050" width="4" style="184" customWidth="1"/>
    <col min="3051" max="3051" width="34.140625" style="184" customWidth="1"/>
    <col min="3052" max="3052" width="1.7109375" style="184" customWidth="1"/>
    <col min="3053" max="3053" width="23.28515625" style="184" customWidth="1"/>
    <col min="3054" max="3054" width="1.7109375" style="184" customWidth="1"/>
    <col min="3055" max="3055" width="23" style="184" customWidth="1"/>
    <col min="3056" max="3056" width="1.7109375" style="184" customWidth="1"/>
    <col min="3057" max="3057" width="15.7109375" style="184" customWidth="1"/>
    <col min="3058" max="3305" width="11.42578125" style="184"/>
    <col min="3306" max="3306" width="4" style="184" customWidth="1"/>
    <col min="3307" max="3307" width="34.140625" style="184" customWidth="1"/>
    <col min="3308" max="3308" width="1.7109375" style="184" customWidth="1"/>
    <col min="3309" max="3309" width="23.28515625" style="184" customWidth="1"/>
    <col min="3310" max="3310" width="1.7109375" style="184" customWidth="1"/>
    <col min="3311" max="3311" width="23" style="184" customWidth="1"/>
    <col min="3312" max="3312" width="1.7109375" style="184" customWidth="1"/>
    <col min="3313" max="3313" width="15.7109375" style="184" customWidth="1"/>
    <col min="3314" max="3561" width="11.42578125" style="184"/>
    <col min="3562" max="3562" width="4" style="184" customWidth="1"/>
    <col min="3563" max="3563" width="34.140625" style="184" customWidth="1"/>
    <col min="3564" max="3564" width="1.7109375" style="184" customWidth="1"/>
    <col min="3565" max="3565" width="23.28515625" style="184" customWidth="1"/>
    <col min="3566" max="3566" width="1.7109375" style="184" customWidth="1"/>
    <col min="3567" max="3567" width="23" style="184" customWidth="1"/>
    <col min="3568" max="3568" width="1.7109375" style="184" customWidth="1"/>
    <col min="3569" max="3569" width="15.7109375" style="184" customWidth="1"/>
    <col min="3570" max="3817" width="11.42578125" style="184"/>
    <col min="3818" max="3818" width="4" style="184" customWidth="1"/>
    <col min="3819" max="3819" width="34.140625" style="184" customWidth="1"/>
    <col min="3820" max="3820" width="1.7109375" style="184" customWidth="1"/>
    <col min="3821" max="3821" width="23.28515625" style="184" customWidth="1"/>
    <col min="3822" max="3822" width="1.7109375" style="184" customWidth="1"/>
    <col min="3823" max="3823" width="23" style="184" customWidth="1"/>
    <col min="3824" max="3824" width="1.7109375" style="184" customWidth="1"/>
    <col min="3825" max="3825" width="15.7109375" style="184" customWidth="1"/>
    <col min="3826" max="4073" width="11.42578125" style="184"/>
    <col min="4074" max="4074" width="4" style="184" customWidth="1"/>
    <col min="4075" max="4075" width="34.140625" style="184" customWidth="1"/>
    <col min="4076" max="4076" width="1.7109375" style="184" customWidth="1"/>
    <col min="4077" max="4077" width="23.28515625" style="184" customWidth="1"/>
    <col min="4078" max="4078" width="1.7109375" style="184" customWidth="1"/>
    <col min="4079" max="4079" width="23" style="184" customWidth="1"/>
    <col min="4080" max="4080" width="1.7109375" style="184" customWidth="1"/>
    <col min="4081" max="4081" width="15.7109375" style="184" customWidth="1"/>
    <col min="4082" max="4329" width="11.42578125" style="184"/>
    <col min="4330" max="4330" width="4" style="184" customWidth="1"/>
    <col min="4331" max="4331" width="34.140625" style="184" customWidth="1"/>
    <col min="4332" max="4332" width="1.7109375" style="184" customWidth="1"/>
    <col min="4333" max="4333" width="23.28515625" style="184" customWidth="1"/>
    <col min="4334" max="4334" width="1.7109375" style="184" customWidth="1"/>
    <col min="4335" max="4335" width="23" style="184" customWidth="1"/>
    <col min="4336" max="4336" width="1.7109375" style="184" customWidth="1"/>
    <col min="4337" max="4337" width="15.7109375" style="184" customWidth="1"/>
    <col min="4338" max="4585" width="11.42578125" style="184"/>
    <col min="4586" max="4586" width="4" style="184" customWidth="1"/>
    <col min="4587" max="4587" width="34.140625" style="184" customWidth="1"/>
    <col min="4588" max="4588" width="1.7109375" style="184" customWidth="1"/>
    <col min="4589" max="4589" width="23.28515625" style="184" customWidth="1"/>
    <col min="4590" max="4590" width="1.7109375" style="184" customWidth="1"/>
    <col min="4591" max="4591" width="23" style="184" customWidth="1"/>
    <col min="4592" max="4592" width="1.7109375" style="184" customWidth="1"/>
    <col min="4593" max="4593" width="15.7109375" style="184" customWidth="1"/>
    <col min="4594" max="4841" width="11.42578125" style="184"/>
    <col min="4842" max="4842" width="4" style="184" customWidth="1"/>
    <col min="4843" max="4843" width="34.140625" style="184" customWidth="1"/>
    <col min="4844" max="4844" width="1.7109375" style="184" customWidth="1"/>
    <col min="4845" max="4845" width="23.28515625" style="184" customWidth="1"/>
    <col min="4846" max="4846" width="1.7109375" style="184" customWidth="1"/>
    <col min="4847" max="4847" width="23" style="184" customWidth="1"/>
    <col min="4848" max="4848" width="1.7109375" style="184" customWidth="1"/>
    <col min="4849" max="4849" width="15.7109375" style="184" customWidth="1"/>
    <col min="4850" max="5097" width="11.42578125" style="184"/>
    <col min="5098" max="5098" width="4" style="184" customWidth="1"/>
    <col min="5099" max="5099" width="34.140625" style="184" customWidth="1"/>
    <col min="5100" max="5100" width="1.7109375" style="184" customWidth="1"/>
    <col min="5101" max="5101" width="23.28515625" style="184" customWidth="1"/>
    <col min="5102" max="5102" width="1.7109375" style="184" customWidth="1"/>
    <col min="5103" max="5103" width="23" style="184" customWidth="1"/>
    <col min="5104" max="5104" width="1.7109375" style="184" customWidth="1"/>
    <col min="5105" max="5105" width="15.7109375" style="184" customWidth="1"/>
    <col min="5106" max="5353" width="11.42578125" style="184"/>
    <col min="5354" max="5354" width="4" style="184" customWidth="1"/>
    <col min="5355" max="5355" width="34.140625" style="184" customWidth="1"/>
    <col min="5356" max="5356" width="1.7109375" style="184" customWidth="1"/>
    <col min="5357" max="5357" width="23.28515625" style="184" customWidth="1"/>
    <col min="5358" max="5358" width="1.7109375" style="184" customWidth="1"/>
    <col min="5359" max="5359" width="23" style="184" customWidth="1"/>
    <col min="5360" max="5360" width="1.7109375" style="184" customWidth="1"/>
    <col min="5361" max="5361" width="15.7109375" style="184" customWidth="1"/>
    <col min="5362" max="5609" width="11.42578125" style="184"/>
    <col min="5610" max="5610" width="4" style="184" customWidth="1"/>
    <col min="5611" max="5611" width="34.140625" style="184" customWidth="1"/>
    <col min="5612" max="5612" width="1.7109375" style="184" customWidth="1"/>
    <col min="5613" max="5613" width="23.28515625" style="184" customWidth="1"/>
    <col min="5614" max="5614" width="1.7109375" style="184" customWidth="1"/>
    <col min="5615" max="5615" width="23" style="184" customWidth="1"/>
    <col min="5616" max="5616" width="1.7109375" style="184" customWidth="1"/>
    <col min="5617" max="5617" width="15.7109375" style="184" customWidth="1"/>
    <col min="5618" max="5865" width="11.42578125" style="184"/>
    <col min="5866" max="5866" width="4" style="184" customWidth="1"/>
    <col min="5867" max="5867" width="34.140625" style="184" customWidth="1"/>
    <col min="5868" max="5868" width="1.7109375" style="184" customWidth="1"/>
    <col min="5869" max="5869" width="23.28515625" style="184" customWidth="1"/>
    <col min="5870" max="5870" width="1.7109375" style="184" customWidth="1"/>
    <col min="5871" max="5871" width="23" style="184" customWidth="1"/>
    <col min="5872" max="5872" width="1.7109375" style="184" customWidth="1"/>
    <col min="5873" max="5873" width="15.7109375" style="184" customWidth="1"/>
    <col min="5874" max="6121" width="11.42578125" style="184"/>
    <col min="6122" max="6122" width="4" style="184" customWidth="1"/>
    <col min="6123" max="6123" width="34.140625" style="184" customWidth="1"/>
    <col min="6124" max="6124" width="1.7109375" style="184" customWidth="1"/>
    <col min="6125" max="6125" width="23.28515625" style="184" customWidth="1"/>
    <col min="6126" max="6126" width="1.7109375" style="184" customWidth="1"/>
    <col min="6127" max="6127" width="23" style="184" customWidth="1"/>
    <col min="6128" max="6128" width="1.7109375" style="184" customWidth="1"/>
    <col min="6129" max="6129" width="15.7109375" style="184" customWidth="1"/>
    <col min="6130" max="6377" width="11.42578125" style="184"/>
    <col min="6378" max="6378" width="4" style="184" customWidth="1"/>
    <col min="6379" max="6379" width="34.140625" style="184" customWidth="1"/>
    <col min="6380" max="6380" width="1.7109375" style="184" customWidth="1"/>
    <col min="6381" max="6381" width="23.28515625" style="184" customWidth="1"/>
    <col min="6382" max="6382" width="1.7109375" style="184" customWidth="1"/>
    <col min="6383" max="6383" width="23" style="184" customWidth="1"/>
    <col min="6384" max="6384" width="1.7109375" style="184" customWidth="1"/>
    <col min="6385" max="6385" width="15.7109375" style="184" customWidth="1"/>
    <col min="6386" max="6633" width="11.42578125" style="184"/>
    <col min="6634" max="6634" width="4" style="184" customWidth="1"/>
    <col min="6635" max="6635" width="34.140625" style="184" customWidth="1"/>
    <col min="6636" max="6636" width="1.7109375" style="184" customWidth="1"/>
    <col min="6637" max="6637" width="23.28515625" style="184" customWidth="1"/>
    <col min="6638" max="6638" width="1.7109375" style="184" customWidth="1"/>
    <col min="6639" max="6639" width="23" style="184" customWidth="1"/>
    <col min="6640" max="6640" width="1.7109375" style="184" customWidth="1"/>
    <col min="6641" max="6641" width="15.7109375" style="184" customWidth="1"/>
    <col min="6642" max="6889" width="11.42578125" style="184"/>
    <col min="6890" max="6890" width="4" style="184" customWidth="1"/>
    <col min="6891" max="6891" width="34.140625" style="184" customWidth="1"/>
    <col min="6892" max="6892" width="1.7109375" style="184" customWidth="1"/>
    <col min="6893" max="6893" width="23.28515625" style="184" customWidth="1"/>
    <col min="6894" max="6894" width="1.7109375" style="184" customWidth="1"/>
    <col min="6895" max="6895" width="23" style="184" customWidth="1"/>
    <col min="6896" max="6896" width="1.7109375" style="184" customWidth="1"/>
    <col min="6897" max="6897" width="15.7109375" style="184" customWidth="1"/>
    <col min="6898" max="7145" width="11.42578125" style="184"/>
    <col min="7146" max="7146" width="4" style="184" customWidth="1"/>
    <col min="7147" max="7147" width="34.140625" style="184" customWidth="1"/>
    <col min="7148" max="7148" width="1.7109375" style="184" customWidth="1"/>
    <col min="7149" max="7149" width="23.28515625" style="184" customWidth="1"/>
    <col min="7150" max="7150" width="1.7109375" style="184" customWidth="1"/>
    <col min="7151" max="7151" width="23" style="184" customWidth="1"/>
    <col min="7152" max="7152" width="1.7109375" style="184" customWidth="1"/>
    <col min="7153" max="7153" width="15.7109375" style="184" customWidth="1"/>
    <col min="7154" max="7401" width="11.42578125" style="184"/>
    <col min="7402" max="7402" width="4" style="184" customWidth="1"/>
    <col min="7403" max="7403" width="34.140625" style="184" customWidth="1"/>
    <col min="7404" max="7404" width="1.7109375" style="184" customWidth="1"/>
    <col min="7405" max="7405" width="23.28515625" style="184" customWidth="1"/>
    <col min="7406" max="7406" width="1.7109375" style="184" customWidth="1"/>
    <col min="7407" max="7407" width="23" style="184" customWidth="1"/>
    <col min="7408" max="7408" width="1.7109375" style="184" customWidth="1"/>
    <col min="7409" max="7409" width="15.7109375" style="184" customWidth="1"/>
    <col min="7410" max="7657" width="11.42578125" style="184"/>
    <col min="7658" max="7658" width="4" style="184" customWidth="1"/>
    <col min="7659" max="7659" width="34.140625" style="184" customWidth="1"/>
    <col min="7660" max="7660" width="1.7109375" style="184" customWidth="1"/>
    <col min="7661" max="7661" width="23.28515625" style="184" customWidth="1"/>
    <col min="7662" max="7662" width="1.7109375" style="184" customWidth="1"/>
    <col min="7663" max="7663" width="23" style="184" customWidth="1"/>
    <col min="7664" max="7664" width="1.7109375" style="184" customWidth="1"/>
    <col min="7665" max="7665" width="15.7109375" style="184" customWidth="1"/>
    <col min="7666" max="7913" width="11.42578125" style="184"/>
    <col min="7914" max="7914" width="4" style="184" customWidth="1"/>
    <col min="7915" max="7915" width="34.140625" style="184" customWidth="1"/>
    <col min="7916" max="7916" width="1.7109375" style="184" customWidth="1"/>
    <col min="7917" max="7917" width="23.28515625" style="184" customWidth="1"/>
    <col min="7918" max="7918" width="1.7109375" style="184" customWidth="1"/>
    <col min="7919" max="7919" width="23" style="184" customWidth="1"/>
    <col min="7920" max="7920" width="1.7109375" style="184" customWidth="1"/>
    <col min="7921" max="7921" width="15.7109375" style="184" customWidth="1"/>
    <col min="7922" max="8169" width="11.42578125" style="184"/>
    <col min="8170" max="8170" width="4" style="184" customWidth="1"/>
    <col min="8171" max="8171" width="34.140625" style="184" customWidth="1"/>
    <col min="8172" max="8172" width="1.7109375" style="184" customWidth="1"/>
    <col min="8173" max="8173" width="23.28515625" style="184" customWidth="1"/>
    <col min="8174" max="8174" width="1.7109375" style="184" customWidth="1"/>
    <col min="8175" max="8175" width="23" style="184" customWidth="1"/>
    <col min="8176" max="8176" width="1.7109375" style="184" customWidth="1"/>
    <col min="8177" max="8177" width="15.7109375" style="184" customWidth="1"/>
    <col min="8178" max="8425" width="11.42578125" style="184"/>
    <col min="8426" max="8426" width="4" style="184" customWidth="1"/>
    <col min="8427" max="8427" width="34.140625" style="184" customWidth="1"/>
    <col min="8428" max="8428" width="1.7109375" style="184" customWidth="1"/>
    <col min="8429" max="8429" width="23.28515625" style="184" customWidth="1"/>
    <col min="8430" max="8430" width="1.7109375" style="184" customWidth="1"/>
    <col min="8431" max="8431" width="23" style="184" customWidth="1"/>
    <col min="8432" max="8432" width="1.7109375" style="184" customWidth="1"/>
    <col min="8433" max="8433" width="15.7109375" style="184" customWidth="1"/>
    <col min="8434" max="8681" width="11.42578125" style="184"/>
    <col min="8682" max="8682" width="4" style="184" customWidth="1"/>
    <col min="8683" max="8683" width="34.140625" style="184" customWidth="1"/>
    <col min="8684" max="8684" width="1.7109375" style="184" customWidth="1"/>
    <col min="8685" max="8685" width="23.28515625" style="184" customWidth="1"/>
    <col min="8686" max="8686" width="1.7109375" style="184" customWidth="1"/>
    <col min="8687" max="8687" width="23" style="184" customWidth="1"/>
    <col min="8688" max="8688" width="1.7109375" style="184" customWidth="1"/>
    <col min="8689" max="8689" width="15.7109375" style="184" customWidth="1"/>
    <col min="8690" max="8937" width="11.42578125" style="184"/>
    <col min="8938" max="8938" width="4" style="184" customWidth="1"/>
    <col min="8939" max="8939" width="34.140625" style="184" customWidth="1"/>
    <col min="8940" max="8940" width="1.7109375" style="184" customWidth="1"/>
    <col min="8941" max="8941" width="23.28515625" style="184" customWidth="1"/>
    <col min="8942" max="8942" width="1.7109375" style="184" customWidth="1"/>
    <col min="8943" max="8943" width="23" style="184" customWidth="1"/>
    <col min="8944" max="8944" width="1.7109375" style="184" customWidth="1"/>
    <col min="8945" max="8945" width="15.7109375" style="184" customWidth="1"/>
    <col min="8946" max="9193" width="11.42578125" style="184"/>
    <col min="9194" max="9194" width="4" style="184" customWidth="1"/>
    <col min="9195" max="9195" width="34.140625" style="184" customWidth="1"/>
    <col min="9196" max="9196" width="1.7109375" style="184" customWidth="1"/>
    <col min="9197" max="9197" width="23.28515625" style="184" customWidth="1"/>
    <col min="9198" max="9198" width="1.7109375" style="184" customWidth="1"/>
    <col min="9199" max="9199" width="23" style="184" customWidth="1"/>
    <col min="9200" max="9200" width="1.7109375" style="184" customWidth="1"/>
    <col min="9201" max="9201" width="15.7109375" style="184" customWidth="1"/>
    <col min="9202" max="9449" width="11.42578125" style="184"/>
    <col min="9450" max="9450" width="4" style="184" customWidth="1"/>
    <col min="9451" max="9451" width="34.140625" style="184" customWidth="1"/>
    <col min="9452" max="9452" width="1.7109375" style="184" customWidth="1"/>
    <col min="9453" max="9453" width="23.28515625" style="184" customWidth="1"/>
    <col min="9454" max="9454" width="1.7109375" style="184" customWidth="1"/>
    <col min="9455" max="9455" width="23" style="184" customWidth="1"/>
    <col min="9456" max="9456" width="1.7109375" style="184" customWidth="1"/>
    <col min="9457" max="9457" width="15.7109375" style="184" customWidth="1"/>
    <col min="9458" max="9705" width="11.42578125" style="184"/>
    <col min="9706" max="9706" width="4" style="184" customWidth="1"/>
    <col min="9707" max="9707" width="34.140625" style="184" customWidth="1"/>
    <col min="9708" max="9708" width="1.7109375" style="184" customWidth="1"/>
    <col min="9709" max="9709" width="23.28515625" style="184" customWidth="1"/>
    <col min="9710" max="9710" width="1.7109375" style="184" customWidth="1"/>
    <col min="9711" max="9711" width="23" style="184" customWidth="1"/>
    <col min="9712" max="9712" width="1.7109375" style="184" customWidth="1"/>
    <col min="9713" max="9713" width="15.7109375" style="184" customWidth="1"/>
    <col min="9714" max="9961" width="11.42578125" style="184"/>
    <col min="9962" max="9962" width="4" style="184" customWidth="1"/>
    <col min="9963" max="9963" width="34.140625" style="184" customWidth="1"/>
    <col min="9964" max="9964" width="1.7109375" style="184" customWidth="1"/>
    <col min="9965" max="9965" width="23.28515625" style="184" customWidth="1"/>
    <col min="9966" max="9966" width="1.7109375" style="184" customWidth="1"/>
    <col min="9967" max="9967" width="23" style="184" customWidth="1"/>
    <col min="9968" max="9968" width="1.7109375" style="184" customWidth="1"/>
    <col min="9969" max="9969" width="15.7109375" style="184" customWidth="1"/>
    <col min="9970" max="10217" width="11.42578125" style="184"/>
    <col min="10218" max="10218" width="4" style="184" customWidth="1"/>
    <col min="10219" max="10219" width="34.140625" style="184" customWidth="1"/>
    <col min="10220" max="10220" width="1.7109375" style="184" customWidth="1"/>
    <col min="10221" max="10221" width="23.28515625" style="184" customWidth="1"/>
    <col min="10222" max="10222" width="1.7109375" style="184" customWidth="1"/>
    <col min="10223" max="10223" width="23" style="184" customWidth="1"/>
    <col min="10224" max="10224" width="1.7109375" style="184" customWidth="1"/>
    <col min="10225" max="10225" width="15.7109375" style="184" customWidth="1"/>
    <col min="10226" max="10473" width="11.42578125" style="184"/>
    <col min="10474" max="10474" width="4" style="184" customWidth="1"/>
    <col min="10475" max="10475" width="34.140625" style="184" customWidth="1"/>
    <col min="10476" max="10476" width="1.7109375" style="184" customWidth="1"/>
    <col min="10477" max="10477" width="23.28515625" style="184" customWidth="1"/>
    <col min="10478" max="10478" width="1.7109375" style="184" customWidth="1"/>
    <col min="10479" max="10479" width="23" style="184" customWidth="1"/>
    <col min="10480" max="10480" width="1.7109375" style="184" customWidth="1"/>
    <col min="10481" max="10481" width="15.7109375" style="184" customWidth="1"/>
    <col min="10482" max="10729" width="11.42578125" style="184"/>
    <col min="10730" max="10730" width="4" style="184" customWidth="1"/>
    <col min="10731" max="10731" width="34.140625" style="184" customWidth="1"/>
    <col min="10732" max="10732" width="1.7109375" style="184" customWidth="1"/>
    <col min="10733" max="10733" width="23.28515625" style="184" customWidth="1"/>
    <col min="10734" max="10734" width="1.7109375" style="184" customWidth="1"/>
    <col min="10735" max="10735" width="23" style="184" customWidth="1"/>
    <col min="10736" max="10736" width="1.7109375" style="184" customWidth="1"/>
    <col min="10737" max="10737" width="15.7109375" style="184" customWidth="1"/>
    <col min="10738" max="10985" width="11.42578125" style="184"/>
    <col min="10986" max="10986" width="4" style="184" customWidth="1"/>
    <col min="10987" max="10987" width="34.140625" style="184" customWidth="1"/>
    <col min="10988" max="10988" width="1.7109375" style="184" customWidth="1"/>
    <col min="10989" max="10989" width="23.28515625" style="184" customWidth="1"/>
    <col min="10990" max="10990" width="1.7109375" style="184" customWidth="1"/>
    <col min="10991" max="10991" width="23" style="184" customWidth="1"/>
    <col min="10992" max="10992" width="1.7109375" style="184" customWidth="1"/>
    <col min="10993" max="10993" width="15.7109375" style="184" customWidth="1"/>
    <col min="10994" max="11241" width="11.42578125" style="184"/>
    <col min="11242" max="11242" width="4" style="184" customWidth="1"/>
    <col min="11243" max="11243" width="34.140625" style="184" customWidth="1"/>
    <col min="11244" max="11244" width="1.7109375" style="184" customWidth="1"/>
    <col min="11245" max="11245" width="23.28515625" style="184" customWidth="1"/>
    <col min="11246" max="11246" width="1.7109375" style="184" customWidth="1"/>
    <col min="11247" max="11247" width="23" style="184" customWidth="1"/>
    <col min="11248" max="11248" width="1.7109375" style="184" customWidth="1"/>
    <col min="11249" max="11249" width="15.7109375" style="184" customWidth="1"/>
    <col min="11250" max="11497" width="11.42578125" style="184"/>
    <col min="11498" max="11498" width="4" style="184" customWidth="1"/>
    <col min="11499" max="11499" width="34.140625" style="184" customWidth="1"/>
    <col min="11500" max="11500" width="1.7109375" style="184" customWidth="1"/>
    <col min="11501" max="11501" width="23.28515625" style="184" customWidth="1"/>
    <col min="11502" max="11502" width="1.7109375" style="184" customWidth="1"/>
    <col min="11503" max="11503" width="23" style="184" customWidth="1"/>
    <col min="11504" max="11504" width="1.7109375" style="184" customWidth="1"/>
    <col min="11505" max="11505" width="15.7109375" style="184" customWidth="1"/>
    <col min="11506" max="11753" width="11.42578125" style="184"/>
    <col min="11754" max="11754" width="4" style="184" customWidth="1"/>
    <col min="11755" max="11755" width="34.140625" style="184" customWidth="1"/>
    <col min="11756" max="11756" width="1.7109375" style="184" customWidth="1"/>
    <col min="11757" max="11757" width="23.28515625" style="184" customWidth="1"/>
    <col min="11758" max="11758" width="1.7109375" style="184" customWidth="1"/>
    <col min="11759" max="11759" width="23" style="184" customWidth="1"/>
    <col min="11760" max="11760" width="1.7109375" style="184" customWidth="1"/>
    <col min="11761" max="11761" width="15.7109375" style="184" customWidth="1"/>
    <col min="11762" max="12009" width="11.42578125" style="184"/>
    <col min="12010" max="12010" width="4" style="184" customWidth="1"/>
    <col min="12011" max="12011" width="34.140625" style="184" customWidth="1"/>
    <col min="12012" max="12012" width="1.7109375" style="184" customWidth="1"/>
    <col min="12013" max="12013" width="23.28515625" style="184" customWidth="1"/>
    <col min="12014" max="12014" width="1.7109375" style="184" customWidth="1"/>
    <col min="12015" max="12015" width="23" style="184" customWidth="1"/>
    <col min="12016" max="12016" width="1.7109375" style="184" customWidth="1"/>
    <col min="12017" max="12017" width="15.7109375" style="184" customWidth="1"/>
    <col min="12018" max="12265" width="11.42578125" style="184"/>
    <col min="12266" max="12266" width="4" style="184" customWidth="1"/>
    <col min="12267" max="12267" width="34.140625" style="184" customWidth="1"/>
    <col min="12268" max="12268" width="1.7109375" style="184" customWidth="1"/>
    <col min="12269" max="12269" width="23.28515625" style="184" customWidth="1"/>
    <col min="12270" max="12270" width="1.7109375" style="184" customWidth="1"/>
    <col min="12271" max="12271" width="23" style="184" customWidth="1"/>
    <col min="12272" max="12272" width="1.7109375" style="184" customWidth="1"/>
    <col min="12273" max="12273" width="15.7109375" style="184" customWidth="1"/>
    <col min="12274" max="12521" width="11.42578125" style="184"/>
    <col min="12522" max="12522" width="4" style="184" customWidth="1"/>
    <col min="12523" max="12523" width="34.140625" style="184" customWidth="1"/>
    <col min="12524" max="12524" width="1.7109375" style="184" customWidth="1"/>
    <col min="12525" max="12525" width="23.28515625" style="184" customWidth="1"/>
    <col min="12526" max="12526" width="1.7109375" style="184" customWidth="1"/>
    <col min="12527" max="12527" width="23" style="184" customWidth="1"/>
    <col min="12528" max="12528" width="1.7109375" style="184" customWidth="1"/>
    <col min="12529" max="12529" width="15.7109375" style="184" customWidth="1"/>
    <col min="12530" max="12777" width="11.42578125" style="184"/>
    <col min="12778" max="12778" width="4" style="184" customWidth="1"/>
    <col min="12779" max="12779" width="34.140625" style="184" customWidth="1"/>
    <col min="12780" max="12780" width="1.7109375" style="184" customWidth="1"/>
    <col min="12781" max="12781" width="23.28515625" style="184" customWidth="1"/>
    <col min="12782" max="12782" width="1.7109375" style="184" customWidth="1"/>
    <col min="12783" max="12783" width="23" style="184" customWidth="1"/>
    <col min="12784" max="12784" width="1.7109375" style="184" customWidth="1"/>
    <col min="12785" max="12785" width="15.7109375" style="184" customWidth="1"/>
    <col min="12786" max="13033" width="11.42578125" style="184"/>
    <col min="13034" max="13034" width="4" style="184" customWidth="1"/>
    <col min="13035" max="13035" width="34.140625" style="184" customWidth="1"/>
    <col min="13036" max="13036" width="1.7109375" style="184" customWidth="1"/>
    <col min="13037" max="13037" width="23.28515625" style="184" customWidth="1"/>
    <col min="13038" max="13038" width="1.7109375" style="184" customWidth="1"/>
    <col min="13039" max="13039" width="23" style="184" customWidth="1"/>
    <col min="13040" max="13040" width="1.7109375" style="184" customWidth="1"/>
    <col min="13041" max="13041" width="15.7109375" style="184" customWidth="1"/>
    <col min="13042" max="13289" width="11.42578125" style="184"/>
    <col min="13290" max="13290" width="4" style="184" customWidth="1"/>
    <col min="13291" max="13291" width="34.140625" style="184" customWidth="1"/>
    <col min="13292" max="13292" width="1.7109375" style="184" customWidth="1"/>
    <col min="13293" max="13293" width="23.28515625" style="184" customWidth="1"/>
    <col min="13294" max="13294" width="1.7109375" style="184" customWidth="1"/>
    <col min="13295" max="13295" width="23" style="184" customWidth="1"/>
    <col min="13296" max="13296" width="1.7109375" style="184" customWidth="1"/>
    <col min="13297" max="13297" width="15.7109375" style="184" customWidth="1"/>
    <col min="13298" max="13545" width="11.42578125" style="184"/>
    <col min="13546" max="13546" width="4" style="184" customWidth="1"/>
    <col min="13547" max="13547" width="34.140625" style="184" customWidth="1"/>
    <col min="13548" max="13548" width="1.7109375" style="184" customWidth="1"/>
    <col min="13549" max="13549" width="23.28515625" style="184" customWidth="1"/>
    <col min="13550" max="13550" width="1.7109375" style="184" customWidth="1"/>
    <col min="13551" max="13551" width="23" style="184" customWidth="1"/>
    <col min="13552" max="13552" width="1.7109375" style="184" customWidth="1"/>
    <col min="13553" max="13553" width="15.7109375" style="184" customWidth="1"/>
    <col min="13554" max="13801" width="11.42578125" style="184"/>
    <col min="13802" max="13802" width="4" style="184" customWidth="1"/>
    <col min="13803" max="13803" width="34.140625" style="184" customWidth="1"/>
    <col min="13804" max="13804" width="1.7109375" style="184" customWidth="1"/>
    <col min="13805" max="13805" width="23.28515625" style="184" customWidth="1"/>
    <col min="13806" max="13806" width="1.7109375" style="184" customWidth="1"/>
    <col min="13807" max="13807" width="23" style="184" customWidth="1"/>
    <col min="13808" max="13808" width="1.7109375" style="184" customWidth="1"/>
    <col min="13809" max="13809" width="15.7109375" style="184" customWidth="1"/>
    <col min="13810" max="14057" width="11.42578125" style="184"/>
    <col min="14058" max="14058" width="4" style="184" customWidth="1"/>
    <col min="14059" max="14059" width="34.140625" style="184" customWidth="1"/>
    <col min="14060" max="14060" width="1.7109375" style="184" customWidth="1"/>
    <col min="14061" max="14061" width="23.28515625" style="184" customWidth="1"/>
    <col min="14062" max="14062" width="1.7109375" style="184" customWidth="1"/>
    <col min="14063" max="14063" width="23" style="184" customWidth="1"/>
    <col min="14064" max="14064" width="1.7109375" style="184" customWidth="1"/>
    <col min="14065" max="14065" width="15.7109375" style="184" customWidth="1"/>
    <col min="14066" max="14313" width="11.42578125" style="184"/>
    <col min="14314" max="14314" width="4" style="184" customWidth="1"/>
    <col min="14315" max="14315" width="34.140625" style="184" customWidth="1"/>
    <col min="14316" max="14316" width="1.7109375" style="184" customWidth="1"/>
    <col min="14317" max="14317" width="23.28515625" style="184" customWidth="1"/>
    <col min="14318" max="14318" width="1.7109375" style="184" customWidth="1"/>
    <col min="14319" max="14319" width="23" style="184" customWidth="1"/>
    <col min="14320" max="14320" width="1.7109375" style="184" customWidth="1"/>
    <col min="14321" max="14321" width="15.7109375" style="184" customWidth="1"/>
    <col min="14322" max="14569" width="11.42578125" style="184"/>
    <col min="14570" max="14570" width="4" style="184" customWidth="1"/>
    <col min="14571" max="14571" width="34.140625" style="184" customWidth="1"/>
    <col min="14572" max="14572" width="1.7109375" style="184" customWidth="1"/>
    <col min="14573" max="14573" width="23.28515625" style="184" customWidth="1"/>
    <col min="14574" max="14574" width="1.7109375" style="184" customWidth="1"/>
    <col min="14575" max="14575" width="23" style="184" customWidth="1"/>
    <col min="14576" max="14576" width="1.7109375" style="184" customWidth="1"/>
    <col min="14577" max="14577" width="15.7109375" style="184" customWidth="1"/>
    <col min="14578" max="14825" width="11.42578125" style="184"/>
    <col min="14826" max="14826" width="4" style="184" customWidth="1"/>
    <col min="14827" max="14827" width="34.140625" style="184" customWidth="1"/>
    <col min="14828" max="14828" width="1.7109375" style="184" customWidth="1"/>
    <col min="14829" max="14829" width="23.28515625" style="184" customWidth="1"/>
    <col min="14830" max="14830" width="1.7109375" style="184" customWidth="1"/>
    <col min="14831" max="14831" width="23" style="184" customWidth="1"/>
    <col min="14832" max="14832" width="1.7109375" style="184" customWidth="1"/>
    <col min="14833" max="14833" width="15.7109375" style="184" customWidth="1"/>
    <col min="14834" max="15081" width="11.42578125" style="184"/>
    <col min="15082" max="15082" width="4" style="184" customWidth="1"/>
    <col min="15083" max="15083" width="34.140625" style="184" customWidth="1"/>
    <col min="15084" max="15084" width="1.7109375" style="184" customWidth="1"/>
    <col min="15085" max="15085" width="23.28515625" style="184" customWidth="1"/>
    <col min="15086" max="15086" width="1.7109375" style="184" customWidth="1"/>
    <col min="15087" max="15087" width="23" style="184" customWidth="1"/>
    <col min="15088" max="15088" width="1.7109375" style="184" customWidth="1"/>
    <col min="15089" max="15089" width="15.7109375" style="184" customWidth="1"/>
    <col min="15090" max="15337" width="11.42578125" style="184"/>
    <col min="15338" max="15338" width="4" style="184" customWidth="1"/>
    <col min="15339" max="15339" width="34.140625" style="184" customWidth="1"/>
    <col min="15340" max="15340" width="1.7109375" style="184" customWidth="1"/>
    <col min="15341" max="15341" width="23.28515625" style="184" customWidth="1"/>
    <col min="15342" max="15342" width="1.7109375" style="184" customWidth="1"/>
    <col min="15343" max="15343" width="23" style="184" customWidth="1"/>
    <col min="15344" max="15344" width="1.7109375" style="184" customWidth="1"/>
    <col min="15345" max="15345" width="15.7109375" style="184" customWidth="1"/>
    <col min="15346" max="15593" width="11.42578125" style="184"/>
    <col min="15594" max="15594" width="4" style="184" customWidth="1"/>
    <col min="15595" max="15595" width="34.140625" style="184" customWidth="1"/>
    <col min="15596" max="15596" width="1.7109375" style="184" customWidth="1"/>
    <col min="15597" max="15597" width="23.28515625" style="184" customWidth="1"/>
    <col min="15598" max="15598" width="1.7109375" style="184" customWidth="1"/>
    <col min="15599" max="15599" width="23" style="184" customWidth="1"/>
    <col min="15600" max="15600" width="1.7109375" style="184" customWidth="1"/>
    <col min="15601" max="15601" width="15.7109375" style="184" customWidth="1"/>
    <col min="15602" max="15849" width="11.42578125" style="184"/>
    <col min="15850" max="15850" width="4" style="184" customWidth="1"/>
    <col min="15851" max="15851" width="34.140625" style="184" customWidth="1"/>
    <col min="15852" max="15852" width="1.7109375" style="184" customWidth="1"/>
    <col min="15853" max="15853" width="23.28515625" style="184" customWidth="1"/>
    <col min="15854" max="15854" width="1.7109375" style="184" customWidth="1"/>
    <col min="15855" max="15855" width="23" style="184" customWidth="1"/>
    <col min="15856" max="15856" width="1.7109375" style="184" customWidth="1"/>
    <col min="15857" max="15857" width="15.7109375" style="184" customWidth="1"/>
    <col min="15858" max="16105" width="11.42578125" style="184"/>
    <col min="16106" max="16106" width="4" style="184" customWidth="1"/>
    <col min="16107" max="16107" width="34.140625" style="184" customWidth="1"/>
    <col min="16108" max="16108" width="1.7109375" style="184" customWidth="1"/>
    <col min="16109" max="16109" width="23.28515625" style="184" customWidth="1"/>
    <col min="16110" max="16110" width="1.7109375" style="184" customWidth="1"/>
    <col min="16111" max="16111" width="23" style="184" customWidth="1"/>
    <col min="16112" max="16112" width="1.7109375" style="184" customWidth="1"/>
    <col min="16113" max="16113" width="15.7109375" style="184" customWidth="1"/>
    <col min="16114" max="16384" width="11.42578125" style="184"/>
  </cols>
  <sheetData>
    <row r="1" spans="2:18" ht="20.25" customHeight="1" x14ac:dyDescent="0.25">
      <c r="B1" s="486"/>
    </row>
    <row r="2" spans="2:18" ht="20.25" customHeight="1" x14ac:dyDescent="0.25">
      <c r="B2" s="891" t="s">
        <v>94</v>
      </c>
      <c r="C2" s="891"/>
      <c r="D2" s="891"/>
      <c r="E2" s="891"/>
      <c r="F2" s="891"/>
      <c r="G2" s="891"/>
      <c r="H2" s="891"/>
    </row>
    <row r="3" spans="2:18" ht="20.25" customHeight="1" x14ac:dyDescent="0.25">
      <c r="B3" s="186"/>
      <c r="C3" s="186"/>
    </row>
    <row r="4" spans="2:18" s="185" customFormat="1" ht="20.25" customHeight="1" x14ac:dyDescent="0.25">
      <c r="B4" s="187"/>
      <c r="C4" s="407"/>
      <c r="D4" s="189" t="s">
        <v>95</v>
      </c>
      <c r="E4" s="190"/>
      <c r="F4" s="189" t="s">
        <v>95</v>
      </c>
      <c r="G4" s="191"/>
      <c r="H4" s="189" t="s">
        <v>96</v>
      </c>
    </row>
    <row r="5" spans="2:18" s="185" customFormat="1" ht="27.75" customHeight="1" x14ac:dyDescent="0.25">
      <c r="B5" s="193"/>
      <c r="C5" s="188"/>
      <c r="D5" s="259" t="s">
        <v>197</v>
      </c>
      <c r="E5" s="191"/>
      <c r="F5" s="259" t="s">
        <v>198</v>
      </c>
      <c r="G5" s="191"/>
      <c r="H5" s="194" t="s">
        <v>4</v>
      </c>
    </row>
    <row r="6" spans="2:18" s="185" customFormat="1" ht="21" customHeight="1" x14ac:dyDescent="0.25">
      <c r="B6" s="193"/>
      <c r="C6" s="188"/>
      <c r="D6" s="195" t="s">
        <v>6</v>
      </c>
      <c r="E6" s="196"/>
      <c r="F6" s="197" t="s">
        <v>7</v>
      </c>
      <c r="G6" s="196"/>
      <c r="H6" s="198" t="s">
        <v>161</v>
      </c>
    </row>
    <row r="7" spans="2:18" s="204" customFormat="1" ht="20.25" customHeight="1" x14ac:dyDescent="0.25">
      <c r="B7" s="199" t="s">
        <v>97</v>
      </c>
      <c r="C7" s="200"/>
      <c r="D7" s="201"/>
      <c r="E7" s="202"/>
      <c r="F7" s="201"/>
      <c r="G7" s="203"/>
      <c r="H7" s="691" t="str">
        <f>IF(D7=0,"-",F7/D7-1)</f>
        <v>-</v>
      </c>
      <c r="L7" s="690"/>
      <c r="M7" s="690"/>
      <c r="Q7" s="690"/>
      <c r="R7" s="690"/>
    </row>
    <row r="8" spans="2:18" ht="20.25" customHeight="1" x14ac:dyDescent="0.25">
      <c r="B8" s="205" t="s">
        <v>98</v>
      </c>
      <c r="C8" s="205"/>
      <c r="D8" s="206"/>
      <c r="E8" s="207"/>
      <c r="F8" s="206"/>
      <c r="G8" s="208"/>
      <c r="H8" s="692" t="str">
        <f t="shared" ref="H8:H14" si="0">IF(D8=0,"-",F8/D8-1)</f>
        <v>-</v>
      </c>
      <c r="L8" s="690"/>
      <c r="M8" s="690"/>
      <c r="Q8" s="690"/>
      <c r="R8" s="690"/>
    </row>
    <row r="9" spans="2:18" ht="20.25" customHeight="1" x14ac:dyDescent="0.25">
      <c r="B9" s="205" t="s">
        <v>99</v>
      </c>
      <c r="C9" s="205"/>
      <c r="D9" s="206"/>
      <c r="E9" s="202"/>
      <c r="F9" s="206"/>
      <c r="G9" s="208"/>
      <c r="H9" s="692" t="str">
        <f t="shared" si="0"/>
        <v>-</v>
      </c>
      <c r="L9" s="690"/>
      <c r="M9" s="690"/>
      <c r="Q9" s="690"/>
      <c r="R9" s="690"/>
    </row>
    <row r="10" spans="2:18" ht="20.25" customHeight="1" x14ac:dyDescent="0.25">
      <c r="B10" s="205" t="s">
        <v>100</v>
      </c>
      <c r="C10" s="205"/>
      <c r="D10" s="206"/>
      <c r="E10" s="207"/>
      <c r="F10" s="206"/>
      <c r="G10" s="208"/>
      <c r="H10" s="692" t="str">
        <f t="shared" si="0"/>
        <v>-</v>
      </c>
      <c r="L10" s="690"/>
      <c r="M10" s="690"/>
      <c r="Q10" s="690"/>
      <c r="R10" s="690"/>
    </row>
    <row r="11" spans="2:18" ht="20.25" customHeight="1" x14ac:dyDescent="0.25">
      <c r="B11" s="200" t="s">
        <v>101</v>
      </c>
      <c r="C11" s="200"/>
      <c r="D11" s="209"/>
      <c r="E11" s="210"/>
      <c r="F11" s="209"/>
      <c r="G11" s="208"/>
      <c r="H11" s="693" t="str">
        <f t="shared" si="0"/>
        <v>-</v>
      </c>
      <c r="L11" s="690"/>
      <c r="M11" s="690"/>
      <c r="Q11" s="690"/>
      <c r="R11" s="690"/>
    </row>
    <row r="12" spans="2:18" ht="20.25" customHeight="1" x14ac:dyDescent="0.25">
      <c r="B12" s="205" t="s">
        <v>102</v>
      </c>
      <c r="C12" s="205"/>
      <c r="D12" s="206"/>
      <c r="E12" s="207"/>
      <c r="F12" s="206"/>
      <c r="G12" s="208"/>
      <c r="H12" s="692" t="str">
        <f t="shared" si="0"/>
        <v>-</v>
      </c>
      <c r="L12" s="690"/>
      <c r="M12" s="690"/>
      <c r="Q12" s="690"/>
      <c r="R12" s="690"/>
    </row>
    <row r="13" spans="2:18" s="214" customFormat="1" ht="20.25" customHeight="1" x14ac:dyDescent="0.25">
      <c r="B13" s="211" t="s">
        <v>103</v>
      </c>
      <c r="C13" s="200"/>
      <c r="D13" s="212"/>
      <c r="E13" s="210"/>
      <c r="F13" s="212"/>
      <c r="G13" s="213"/>
      <c r="H13" s="694" t="str">
        <f t="shared" si="0"/>
        <v>-</v>
      </c>
      <c r="L13" s="690"/>
      <c r="M13" s="690"/>
      <c r="Q13" s="690"/>
      <c r="R13" s="690"/>
    </row>
    <row r="14" spans="2:18" ht="20.25" customHeight="1" x14ac:dyDescent="0.25">
      <c r="B14" s="223" t="s">
        <v>104</v>
      </c>
      <c r="C14" s="215"/>
      <c r="D14" s="220"/>
      <c r="E14" s="216"/>
      <c r="F14" s="220"/>
      <c r="G14" s="217"/>
      <c r="H14" s="695" t="str">
        <f t="shared" si="0"/>
        <v>-</v>
      </c>
      <c r="L14" s="690"/>
      <c r="M14" s="690"/>
      <c r="Q14" s="690"/>
      <c r="R14" s="690"/>
    </row>
    <row r="15" spans="2:18" ht="20.25" customHeight="1" x14ac:dyDescent="0.25">
      <c r="B15" s="218" t="s">
        <v>105</v>
      </c>
      <c r="C15" s="219"/>
      <c r="D15" s="229"/>
      <c r="E15" s="258"/>
      <c r="F15" s="229"/>
      <c r="G15" s="217"/>
      <c r="H15" s="693" t="str">
        <f>IF(D15=0,"-",F15/D15-1)</f>
        <v>-</v>
      </c>
      <c r="L15" s="690"/>
      <c r="M15" s="690"/>
      <c r="Q15" s="690"/>
      <c r="R15" s="690"/>
    </row>
    <row r="16" spans="2:18" ht="20.25" customHeight="1" x14ac:dyDescent="0.25">
      <c r="B16" s="200" t="s">
        <v>106</v>
      </c>
      <c r="C16" s="221"/>
      <c r="D16" s="209"/>
      <c r="E16" s="207"/>
      <c r="F16" s="209"/>
      <c r="G16" s="217"/>
      <c r="H16" s="694" t="str">
        <f>IF(D16=0,"-",F16/D16-1)</f>
        <v>-</v>
      </c>
      <c r="L16" s="690"/>
      <c r="M16" s="690"/>
      <c r="Q16" s="690"/>
      <c r="R16" s="690"/>
    </row>
    <row r="17" spans="1:18" ht="20.25" customHeight="1" x14ac:dyDescent="0.25">
      <c r="A17" s="222"/>
      <c r="B17" s="223" t="s">
        <v>107</v>
      </c>
      <c r="C17" s="205"/>
      <c r="D17" s="224"/>
      <c r="E17" s="225"/>
      <c r="F17" s="224"/>
      <c r="G17" s="226"/>
      <c r="H17" s="695" t="str">
        <f>IF(D17=0,"-",F17/D17-1)</f>
        <v>-</v>
      </c>
      <c r="L17" s="690"/>
      <c r="M17" s="690"/>
      <c r="Q17" s="690"/>
      <c r="R17" s="690"/>
    </row>
    <row r="18" spans="1:18" ht="20.25" customHeight="1" x14ac:dyDescent="0.25">
      <c r="B18" s="227" t="s">
        <v>108</v>
      </c>
      <c r="C18" s="228"/>
      <c r="D18" s="229"/>
      <c r="E18" s="230"/>
      <c r="F18" s="229"/>
      <c r="G18" s="231"/>
      <c r="H18" s="696" t="str">
        <f>IF(D18=0,"-",F18/D18-1)</f>
        <v>-</v>
      </c>
      <c r="L18" s="690"/>
      <c r="M18" s="690"/>
    </row>
    <row r="19" spans="1:18" ht="20.25" customHeight="1" x14ac:dyDescent="0.25">
      <c r="D19" s="143"/>
      <c r="E19" s="143"/>
      <c r="F19" s="143"/>
    </row>
    <row r="20" spans="1:18" ht="20.25" customHeight="1" x14ac:dyDescent="0.25">
      <c r="D20" s="143"/>
      <c r="E20" s="143"/>
      <c r="F20" s="143"/>
    </row>
    <row r="21" spans="1:18" ht="20.25" customHeight="1" x14ac:dyDescent="0.25">
      <c r="F21" s="192"/>
    </row>
    <row r="22" spans="1:18" ht="20.25" customHeight="1" x14ac:dyDescent="0.25">
      <c r="D22" s="230"/>
      <c r="F22" s="192"/>
    </row>
    <row r="23" spans="1:18" ht="20.25" customHeight="1" x14ac:dyDescent="0.25">
      <c r="D23" s="230"/>
      <c r="F23" s="192"/>
    </row>
    <row r="24" spans="1:18" ht="20.25" customHeight="1" x14ac:dyDescent="0.25">
      <c r="F24" s="192"/>
      <c r="H24" s="230"/>
    </row>
    <row r="25" spans="1:18" ht="20.25" customHeight="1" x14ac:dyDescent="0.25"/>
    <row r="26" spans="1:18" ht="20.25" customHeight="1" x14ac:dyDescent="0.25"/>
    <row r="27" spans="1:18" ht="20.25" customHeight="1" x14ac:dyDescent="0.25"/>
    <row r="28" spans="1:18" ht="20.25" customHeight="1" x14ac:dyDescent="0.25"/>
    <row r="29" spans="1:18" ht="20.25" customHeight="1" x14ac:dyDescent="0.25"/>
    <row r="30" spans="1:18" ht="20.25" customHeight="1" x14ac:dyDescent="0.25"/>
    <row r="31" spans="1:18" ht="20.25" customHeight="1" x14ac:dyDescent="0.25"/>
    <row r="32" spans="1:18" ht="20.25" customHeight="1" x14ac:dyDescent="0.25"/>
    <row r="33" ht="20.25" customHeight="1" x14ac:dyDescent="0.25"/>
    <row r="34" ht="20.25" customHeight="1" x14ac:dyDescent="0.25"/>
    <row r="35" ht="20.25" customHeight="1" x14ac:dyDescent="0.25"/>
    <row r="36" ht="20.25" customHeight="1" x14ac:dyDescent="0.25"/>
    <row r="37" ht="20.25" customHeight="1" x14ac:dyDescent="0.25"/>
    <row r="38" ht="20.25" customHeight="1" x14ac:dyDescent="0.25"/>
    <row r="39" ht="20.25" customHeight="1" x14ac:dyDescent="0.25"/>
    <row r="40" ht="20.25" customHeight="1" x14ac:dyDescent="0.25"/>
    <row r="41" ht="20.25" customHeight="1" x14ac:dyDescent="0.25"/>
    <row r="42" ht="20.25" customHeight="1" x14ac:dyDescent="0.25"/>
    <row r="43" ht="20.25" customHeight="1" x14ac:dyDescent="0.25"/>
    <row r="44" ht="20.25" customHeight="1" x14ac:dyDescent="0.25"/>
    <row r="45" ht="20.25" customHeight="1" x14ac:dyDescent="0.25"/>
    <row r="46" ht="20.25" customHeight="1" x14ac:dyDescent="0.25"/>
  </sheetData>
  <mergeCells count="1">
    <mergeCell ref="B2:H2"/>
  </mergeCells>
  <printOptions horizontalCentered="1" verticalCentered="1"/>
  <pageMargins left="0.39370078740157483" right="0.39370078740157483" top="0.39370078740157483" bottom="0.39370078740157483" header="0.31496062992125984" footer="0.31496062992125984"/>
  <pageSetup paperSize="9" orientation="landscape" r:id="rId1"/>
  <headerFooter>
    <oddFooter>&amp;LDCP SPE &amp;R&amp;P</oddFooter>
  </headerFooter>
  <customProperties>
    <customPr name="EpmWorksheetKeyString_GUID" r:id="rId2"/>
  </customProperties>
  <ignoredErrors>
    <ignoredError sqref="D6:F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14</vt:i4>
      </vt:variant>
    </vt:vector>
  </HeadingPairs>
  <TitlesOfParts>
    <vt:vector size="28" baseType="lpstr">
      <vt:lpstr>Page de garde</vt:lpstr>
      <vt:lpstr>Forages  </vt:lpstr>
      <vt:lpstr>Production</vt:lpstr>
      <vt:lpstr>TRC</vt:lpstr>
      <vt:lpstr>LQS</vt:lpstr>
      <vt:lpstr>Raffinage</vt:lpstr>
      <vt:lpstr>Pétrochimie</vt:lpstr>
      <vt:lpstr>Export Vol</vt:lpstr>
      <vt:lpstr>Export Val</vt:lpstr>
      <vt:lpstr>MN Vol</vt:lpstr>
      <vt:lpstr>MN Val</vt:lpstr>
      <vt:lpstr>PR Vol</vt:lpstr>
      <vt:lpstr>Investissements   </vt:lpstr>
      <vt:lpstr>Emploi</vt:lpstr>
      <vt:lpstr>Emploi!Zone_d_impression</vt:lpstr>
      <vt:lpstr>'Export Val'!Zone_d_impression</vt:lpstr>
      <vt:lpstr>'Export Vol'!Zone_d_impression</vt:lpstr>
      <vt:lpstr>'Forages  '!Zone_d_impression</vt:lpstr>
      <vt:lpstr>'Investissements   '!Zone_d_impression</vt:lpstr>
      <vt:lpstr>LQS!Zone_d_impression</vt:lpstr>
      <vt:lpstr>'MN Val'!Zone_d_impression</vt:lpstr>
      <vt:lpstr>'MN Vol'!Zone_d_impression</vt:lpstr>
      <vt:lpstr>'Page de garde'!Zone_d_impression</vt:lpstr>
      <vt:lpstr>Pétrochimie!Zone_d_impression</vt:lpstr>
      <vt:lpstr>'PR Vol'!Zone_d_impression</vt:lpstr>
      <vt:lpstr>Production!Zone_d_impression</vt:lpstr>
      <vt:lpstr>Raffinage!Zone_d_impression</vt:lpstr>
      <vt:lpstr>TRC!Zone_d_impression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Windows</dc:creator>
  <cp:lastModifiedBy>sonia chouaki</cp:lastModifiedBy>
  <cp:lastPrinted>2026-02-08T12:56:52Z</cp:lastPrinted>
  <dcterms:created xsi:type="dcterms:W3CDTF">2016-05-22T09:21:56Z</dcterms:created>
  <dcterms:modified xsi:type="dcterms:W3CDTF">2026-02-10T14:22:51Z</dcterms:modified>
</cp:coreProperties>
</file>